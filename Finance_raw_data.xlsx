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BA\Sem - 4\"/>
    </mc:Choice>
  </mc:AlternateContent>
  <xr:revisionPtr revIDLastSave="0" documentId="13_ncr:1_{870D34D4-2AED-4B19-B014-D5CA92EA7AFC}" xr6:coauthVersionLast="47" xr6:coauthVersionMax="47" xr10:uidLastSave="{00000000-0000-0000-0000-000000000000}"/>
  <bookViews>
    <workbookView xWindow="-108" yWindow="-108" windowWidth="23256" windowHeight="12456" activeTab="2" xr2:uid="{95BB3AB5-18E0-473D-956D-8D1312BB86A9}"/>
  </bookViews>
  <sheets>
    <sheet name="Raw Data" sheetId="1" r:id="rId1"/>
    <sheet name="Insight Table" sheetId="2" r:id="rId2"/>
    <sheet name="Python Resul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" l="1"/>
  <c r="L5" i="2"/>
  <c r="L6" i="2"/>
  <c r="L7" i="2"/>
  <c r="L9" i="2"/>
  <c r="L10" i="2"/>
  <c r="L11" i="2"/>
  <c r="L12" i="2"/>
  <c r="L13" i="2"/>
  <c r="L15" i="2"/>
  <c r="L16" i="2"/>
  <c r="L17" i="2"/>
  <c r="L18" i="2"/>
  <c r="L19" i="2"/>
  <c r="L21" i="2"/>
  <c r="L22" i="2"/>
  <c r="L23" i="2"/>
  <c r="L24" i="2"/>
  <c r="L25" i="2"/>
  <c r="L27" i="2"/>
  <c r="L28" i="2"/>
  <c r="L29" i="2"/>
  <c r="L30" i="2"/>
  <c r="L31" i="2"/>
  <c r="L3" i="2"/>
  <c r="K4" i="2"/>
  <c r="K5" i="2"/>
  <c r="K6" i="2"/>
  <c r="K7" i="2"/>
  <c r="K9" i="2"/>
  <c r="K10" i="2"/>
  <c r="K11" i="2"/>
  <c r="K12" i="2"/>
  <c r="K13" i="2"/>
  <c r="K15" i="2"/>
  <c r="K16" i="2"/>
  <c r="K17" i="2"/>
  <c r="K18" i="2"/>
  <c r="K19" i="2"/>
  <c r="K21" i="2"/>
  <c r="K22" i="2"/>
  <c r="K23" i="2"/>
  <c r="K24" i="2"/>
  <c r="K25" i="2"/>
  <c r="K27" i="2"/>
  <c r="K28" i="2"/>
  <c r="K29" i="2"/>
  <c r="K30" i="2"/>
  <c r="K31" i="2"/>
  <c r="K3" i="2"/>
  <c r="J21" i="2"/>
  <c r="M21" i="2" s="1"/>
  <c r="G2" i="2"/>
  <c r="N2" i="2" s="1"/>
  <c r="I3" i="2"/>
  <c r="P3" i="2" s="1"/>
  <c r="I4" i="2"/>
  <c r="P4" i="2" s="1"/>
  <c r="I5" i="2"/>
  <c r="P5" i="2" s="1"/>
  <c r="I6" i="2"/>
  <c r="P6" i="2" s="1"/>
  <c r="I7" i="2"/>
  <c r="P7" i="2" s="1"/>
  <c r="I8" i="2"/>
  <c r="P8" i="2" s="1"/>
  <c r="I9" i="2"/>
  <c r="P9" i="2" s="1"/>
  <c r="I10" i="2"/>
  <c r="P10" i="2" s="1"/>
  <c r="I11" i="2"/>
  <c r="P11" i="2" s="1"/>
  <c r="I12" i="2"/>
  <c r="P12" i="2" s="1"/>
  <c r="I13" i="2"/>
  <c r="P13" i="2" s="1"/>
  <c r="I14" i="2"/>
  <c r="P14" i="2" s="1"/>
  <c r="I15" i="2"/>
  <c r="P15" i="2" s="1"/>
  <c r="I16" i="2"/>
  <c r="P16" i="2" s="1"/>
  <c r="I17" i="2"/>
  <c r="P17" i="2" s="1"/>
  <c r="I18" i="2"/>
  <c r="P18" i="2" s="1"/>
  <c r="I19" i="2"/>
  <c r="P19" i="2" s="1"/>
  <c r="I20" i="2"/>
  <c r="P20" i="2" s="1"/>
  <c r="I21" i="2"/>
  <c r="P21" i="2" s="1"/>
  <c r="I22" i="2"/>
  <c r="P22" i="2" s="1"/>
  <c r="I23" i="2"/>
  <c r="P23" i="2" s="1"/>
  <c r="I24" i="2"/>
  <c r="P24" i="2" s="1"/>
  <c r="I25" i="2"/>
  <c r="P25" i="2" s="1"/>
  <c r="I26" i="2"/>
  <c r="P26" i="2" s="1"/>
  <c r="I27" i="2"/>
  <c r="P27" i="2" s="1"/>
  <c r="I28" i="2"/>
  <c r="P28" i="2" s="1"/>
  <c r="I29" i="2"/>
  <c r="P29" i="2" s="1"/>
  <c r="I30" i="2"/>
  <c r="P30" i="2" s="1"/>
  <c r="I31" i="2"/>
  <c r="P31" i="2" s="1"/>
  <c r="I2" i="2"/>
  <c r="P2" i="2" s="1"/>
  <c r="H3" i="2"/>
  <c r="O3" i="2" s="1"/>
  <c r="H4" i="2"/>
  <c r="O4" i="2" s="1"/>
  <c r="H5" i="2"/>
  <c r="O5" i="2" s="1"/>
  <c r="H6" i="2"/>
  <c r="O6" i="2" s="1"/>
  <c r="H7" i="2"/>
  <c r="O7" i="2" s="1"/>
  <c r="H8" i="2"/>
  <c r="O8" i="2" s="1"/>
  <c r="H9" i="2"/>
  <c r="O9" i="2" s="1"/>
  <c r="H10" i="2"/>
  <c r="O10" i="2" s="1"/>
  <c r="H11" i="2"/>
  <c r="O11" i="2" s="1"/>
  <c r="H12" i="2"/>
  <c r="O12" i="2" s="1"/>
  <c r="H13" i="2"/>
  <c r="O13" i="2" s="1"/>
  <c r="H14" i="2"/>
  <c r="O14" i="2" s="1"/>
  <c r="H15" i="2"/>
  <c r="O15" i="2" s="1"/>
  <c r="H16" i="2"/>
  <c r="O16" i="2" s="1"/>
  <c r="H17" i="2"/>
  <c r="O17" i="2" s="1"/>
  <c r="H18" i="2"/>
  <c r="O18" i="2" s="1"/>
  <c r="H19" i="2"/>
  <c r="H20" i="2"/>
  <c r="J20" i="2" s="1"/>
  <c r="H21" i="2"/>
  <c r="O21" i="2" s="1"/>
  <c r="H22" i="2"/>
  <c r="H23" i="2"/>
  <c r="O23" i="2" s="1"/>
  <c r="H24" i="2"/>
  <c r="H25" i="2"/>
  <c r="O25" i="2" s="1"/>
  <c r="H26" i="2"/>
  <c r="O26" i="2" s="1"/>
  <c r="H27" i="2"/>
  <c r="O27" i="2" s="1"/>
  <c r="H28" i="2"/>
  <c r="O28" i="2" s="1"/>
  <c r="H29" i="2"/>
  <c r="O29" i="2" s="1"/>
  <c r="H30" i="2"/>
  <c r="O30" i="2" s="1"/>
  <c r="H31" i="2"/>
  <c r="H2" i="2"/>
  <c r="O2" i="2" s="1"/>
  <c r="G3" i="2"/>
  <c r="G4" i="2"/>
  <c r="G5" i="2"/>
  <c r="G6" i="2"/>
  <c r="G7" i="2"/>
  <c r="J7" i="2" s="1"/>
  <c r="Q7" i="2" s="1"/>
  <c r="G8" i="2"/>
  <c r="G9" i="2"/>
  <c r="J9" i="2" s="1"/>
  <c r="G10" i="2"/>
  <c r="J10" i="2" s="1"/>
  <c r="M10" i="2" s="1"/>
  <c r="G11" i="2"/>
  <c r="J11" i="2" s="1"/>
  <c r="Q11" i="2" s="1"/>
  <c r="G12" i="2"/>
  <c r="J12" i="2" s="1"/>
  <c r="M12" i="2" s="1"/>
  <c r="G13" i="2"/>
  <c r="G14" i="2"/>
  <c r="J14" i="2" s="1"/>
  <c r="G15" i="2"/>
  <c r="G16" i="2"/>
  <c r="G17" i="2"/>
  <c r="G18" i="2"/>
  <c r="G19" i="2"/>
  <c r="N19" i="2" s="1"/>
  <c r="G20" i="2"/>
  <c r="N20" i="2" s="1"/>
  <c r="G21" i="2"/>
  <c r="N21" i="2" s="1"/>
  <c r="G22" i="2"/>
  <c r="N22" i="2" s="1"/>
  <c r="G23" i="2"/>
  <c r="N23" i="2" s="1"/>
  <c r="S23" i="2" s="1"/>
  <c r="G24" i="2"/>
  <c r="N24" i="2" s="1"/>
  <c r="G25" i="2"/>
  <c r="N25" i="2" s="1"/>
  <c r="S25" i="2" s="1"/>
  <c r="G26" i="2"/>
  <c r="J26" i="2" s="1"/>
  <c r="G27" i="2"/>
  <c r="G28" i="2"/>
  <c r="G29" i="2"/>
  <c r="N29" i="2" s="1"/>
  <c r="G30" i="2"/>
  <c r="G31" i="2"/>
  <c r="N31" i="2" s="1"/>
  <c r="S2" i="2" l="1"/>
  <c r="S22" i="2"/>
  <c r="M9" i="2"/>
  <c r="S19" i="2"/>
  <c r="R7" i="2"/>
  <c r="S29" i="2"/>
  <c r="J8" i="2"/>
  <c r="N8" i="2"/>
  <c r="S8" i="2" s="1"/>
  <c r="Q26" i="2"/>
  <c r="Q14" i="2"/>
  <c r="N9" i="2"/>
  <c r="S9" i="2" s="1"/>
  <c r="N7" i="2"/>
  <c r="S7" i="2" s="1"/>
  <c r="J30" i="2"/>
  <c r="J18" i="2"/>
  <c r="J6" i="2"/>
  <c r="J24" i="2"/>
  <c r="N30" i="2"/>
  <c r="N18" i="2"/>
  <c r="S18" i="2" s="1"/>
  <c r="N6" i="2"/>
  <c r="S6" i="2" s="1"/>
  <c r="O24" i="2"/>
  <c r="S24" i="2" s="1"/>
  <c r="Q12" i="2"/>
  <c r="J28" i="2"/>
  <c r="J16" i="2"/>
  <c r="J4" i="2"/>
  <c r="J22" i="2"/>
  <c r="M11" i="2"/>
  <c r="N28" i="2"/>
  <c r="S28" i="2" s="1"/>
  <c r="N16" i="2"/>
  <c r="S16" i="2" s="1"/>
  <c r="N4" i="2"/>
  <c r="S4" i="2" s="1"/>
  <c r="O22" i="2"/>
  <c r="Q10" i="2"/>
  <c r="N12" i="2"/>
  <c r="S12" i="2" s="1"/>
  <c r="J5" i="2"/>
  <c r="N5" i="2"/>
  <c r="S5" i="2" s="1"/>
  <c r="J27" i="2"/>
  <c r="J15" i="2"/>
  <c r="J3" i="2"/>
  <c r="N27" i="2"/>
  <c r="S27" i="2" s="1"/>
  <c r="N15" i="2"/>
  <c r="S15" i="2" s="1"/>
  <c r="N3" i="2"/>
  <c r="S3" i="2" s="1"/>
  <c r="Q21" i="2"/>
  <c r="R21" i="2" s="1"/>
  <c r="Q9" i="2"/>
  <c r="J17" i="2"/>
  <c r="J2" i="2"/>
  <c r="Q2" i="2" s="1"/>
  <c r="R2" i="2" s="1"/>
  <c r="N26" i="2"/>
  <c r="S26" i="2" s="1"/>
  <c r="N14" i="2"/>
  <c r="S14" i="2" s="1"/>
  <c r="O20" i="2"/>
  <c r="S20" i="2" s="1"/>
  <c r="Q20" i="2"/>
  <c r="R20" i="2" s="1"/>
  <c r="J29" i="2"/>
  <c r="J23" i="2"/>
  <c r="N17" i="2"/>
  <c r="S17" i="2" s="1"/>
  <c r="J13" i="2"/>
  <c r="J31" i="2"/>
  <c r="J19" i="2"/>
  <c r="J25" i="2"/>
  <c r="N13" i="2"/>
  <c r="S13" i="2" s="1"/>
  <c r="O31" i="2"/>
  <c r="O19" i="2"/>
  <c r="N11" i="2"/>
  <c r="S11" i="2" s="1"/>
  <c r="N10" i="2"/>
  <c r="S10" i="2" s="1"/>
  <c r="Q31" i="2" l="1"/>
  <c r="M31" i="2"/>
  <c r="M6" i="2"/>
  <c r="Q6" i="2"/>
  <c r="R6" i="2" s="1"/>
  <c r="M7" i="2"/>
  <c r="Q23" i="2"/>
  <c r="R23" i="2" s="1"/>
  <c r="M23" i="2"/>
  <c r="M18" i="2"/>
  <c r="Q18" i="2"/>
  <c r="R18" i="2" s="1"/>
  <c r="M29" i="2"/>
  <c r="Q29" i="2"/>
  <c r="R29" i="2" s="1"/>
  <c r="M3" i="2"/>
  <c r="Q3" i="2"/>
  <c r="R3" i="2" s="1"/>
  <c r="M22" i="2"/>
  <c r="Q22" i="2"/>
  <c r="R22" i="2" s="1"/>
  <c r="M30" i="2"/>
  <c r="Q30" i="2"/>
  <c r="R30" i="2" s="1"/>
  <c r="Q16" i="2"/>
  <c r="R16" i="2" s="1"/>
  <c r="M16" i="2"/>
  <c r="Q28" i="2"/>
  <c r="R28" i="2" s="1"/>
  <c r="M28" i="2"/>
  <c r="R14" i="2"/>
  <c r="R11" i="2"/>
  <c r="M24" i="2"/>
  <c r="Q24" i="2"/>
  <c r="R24" i="2" s="1"/>
  <c r="M27" i="2"/>
  <c r="Q27" i="2"/>
  <c r="R27" i="2" s="1"/>
  <c r="M5" i="2"/>
  <c r="Q5" i="2"/>
  <c r="R5" i="2" s="1"/>
  <c r="R12" i="2"/>
  <c r="R26" i="2"/>
  <c r="Q15" i="2"/>
  <c r="R15" i="2" s="1"/>
  <c r="M15" i="2"/>
  <c r="S30" i="2"/>
  <c r="M13" i="2"/>
  <c r="Q13" i="2"/>
  <c r="R13" i="2" s="1"/>
  <c r="Q4" i="2"/>
  <c r="R4" i="2" s="1"/>
  <c r="M4" i="2"/>
  <c r="M25" i="2"/>
  <c r="Q25" i="2"/>
  <c r="R25" i="2" s="1"/>
  <c r="M17" i="2"/>
  <c r="Q17" i="2"/>
  <c r="R17" i="2" s="1"/>
  <c r="R10" i="2"/>
  <c r="Q8" i="2"/>
  <c r="R8" i="2" s="1"/>
  <c r="S21" i="2"/>
  <c r="M19" i="2"/>
  <c r="Q19" i="2"/>
  <c r="R19" i="2" s="1"/>
  <c r="R9" i="2"/>
  <c r="R31" i="2" l="1"/>
  <c r="S31" i="2"/>
</calcChain>
</file>

<file path=xl/sharedStrings.xml><?xml version="1.0" encoding="utf-8"?>
<sst xmlns="http://schemas.openxmlformats.org/spreadsheetml/2006/main" count="555" uniqueCount="81">
  <si>
    <t>Company</t>
  </si>
  <si>
    <t>Year</t>
  </si>
  <si>
    <t>Net_Sales</t>
  </si>
  <si>
    <t>Net_Income</t>
  </si>
  <si>
    <t>Total_Assets</t>
  </si>
  <si>
    <t>Total_Equity</t>
  </si>
  <si>
    <t>HUL</t>
  </si>
  <si>
    <t>ITC</t>
  </si>
  <si>
    <t>Nestlé India</t>
  </si>
  <si>
    <t>Britannia Industries</t>
  </si>
  <si>
    <t>Dabur India</t>
  </si>
  <si>
    <t>Profit_Margin</t>
  </si>
  <si>
    <t>Asset_Turnover</t>
  </si>
  <si>
    <t>Equity_Multiplier</t>
  </si>
  <si>
    <t xml:space="preserve">ROE </t>
  </si>
  <si>
    <t>Sales_Growth</t>
  </si>
  <si>
    <t>Profit_Growth</t>
  </si>
  <si>
    <t>ROE_Change</t>
  </si>
  <si>
    <t>PM_Level</t>
  </si>
  <si>
    <t>AT_Level</t>
  </si>
  <si>
    <t>EM_Level</t>
  </si>
  <si>
    <t>ROE_Level</t>
  </si>
  <si>
    <t>Insight</t>
  </si>
  <si>
    <t>Advanced_Insight</t>
  </si>
  <si>
    <t>FY 2019–20</t>
  </si>
  <si>
    <t>FY 2020–21</t>
  </si>
  <si>
    <t>FY 2021–22</t>
  </si>
  <si>
    <t>FY 2022–23</t>
  </si>
  <si>
    <t>FY 2023–24</t>
  </si>
  <si>
    <t>FY 2024–25</t>
  </si>
  <si>
    <t>Year_Num</t>
  </si>
  <si>
    <t>PM</t>
  </si>
  <si>
    <t>AT</t>
  </si>
  <si>
    <t>EM</t>
  </si>
  <si>
    <t>ROE</t>
  </si>
  <si>
    <t>PM_prev</t>
  </si>
  <si>
    <t>AT_prev</t>
  </si>
  <si>
    <t>EM_prev</t>
  </si>
  <si>
    <t>ROE_prev</t>
  </si>
  <si>
    <t>d_PM</t>
  </si>
  <si>
    <t>d_AT</t>
  </si>
  <si>
    <t>d_EM</t>
  </si>
  <si>
    <t>Total_change</t>
  </si>
  <si>
    <t>PM_contribution</t>
  </si>
  <si>
    <t>AT_contribution</t>
  </si>
  <si>
    <t>EM_contribution</t>
  </si>
  <si>
    <t>ROE_change</t>
  </si>
  <si>
    <t>PM_impact</t>
  </si>
  <si>
    <t>AT_impact</t>
  </si>
  <si>
    <t>EM_impact</t>
  </si>
  <si>
    <t>Primary_Driver</t>
  </si>
  <si>
    <t>Category</t>
  </si>
  <si>
    <t>Business_Insight</t>
  </si>
  <si>
    <t>Score</t>
  </si>
  <si>
    <t>Performance_Label</t>
  </si>
  <si>
    <t/>
  </si>
  <si>
    <t>Profitability</t>
  </si>
  <si>
    <t>Low Margin</t>
  </si>
  <si>
    <t>Efficient</t>
  </si>
  <si>
    <t>Balanced</t>
  </si>
  <si>
    <t>Base Year</t>
  </si>
  <si>
    <t>Moderate</t>
  </si>
  <si>
    <t>High</t>
  </si>
  <si>
    <t>Leverage</t>
  </si>
  <si>
    <t>Inefficient</t>
  </si>
  <si>
    <t>Leverage-Driven Growth</t>
  </si>
  <si>
    <t>ROE driven by leverage — risky</t>
  </si>
  <si>
    <t>Weak</t>
  </si>
  <si>
    <t>High Leverage</t>
  </si>
  <si>
    <t>Healthy Growth</t>
  </si>
  <si>
    <t>ROE driven by strong margins (pricing power)</t>
  </si>
  <si>
    <t>Deleveraging Impact</t>
  </si>
  <si>
    <t>ROE decline due to lower leverage</t>
  </si>
  <si>
    <t>High Margin</t>
  </si>
  <si>
    <t>Efficiency</t>
  </si>
  <si>
    <t>Operational Inefficiency</t>
  </si>
  <si>
    <t>ROE decline due to inefficiency</t>
  </si>
  <si>
    <t>Margin Pressure</t>
  </si>
  <si>
    <t>ROE decline due to margin pressure</t>
  </si>
  <si>
    <t>Operational Improvement</t>
  </si>
  <si>
    <t>ROE driven by efficiency gains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</si>
</sst>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000"/>
    <numFmt numFmtId="166" formatCode="0.00%;\-0.00%;0.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</cellStyleXfs>
  <cellXfs count="78">
    <xf numFmtId="0" fontId="0" fillId="0" borderId="0" xfId="0"/>
    <xf numFmtId="0" fontId="2" fillId="2" borderId="0" xfId="2"/>
    <xf numFmtId="0" fontId="1" fillId="3" borderId="0" xfId="3" applyAlignment="1">
      <alignment vertical="center" wrapText="1"/>
    </xf>
    <xf numFmtId="0" fontId="1" fillId="3" borderId="0" xfId="3"/>
    <xf numFmtId="0" fontId="1" fillId="4" borderId="0" xfId="4"/>
    <xf numFmtId="0" fontId="1" fillId="5" borderId="0" xfId="5"/>
    <xf numFmtId="0" fontId="1" fillId="6" borderId="0" xfId="6"/>
    <xf numFmtId="0" fontId="1" fillId="7" borderId="0" xfId="7"/>
    <xf numFmtId="164" fontId="1" fillId="3" borderId="0" xfId="1" applyNumberFormat="1" applyFill="1"/>
    <xf numFmtId="164" fontId="1" fillId="4" borderId="0" xfId="1" applyNumberFormat="1" applyFill="1"/>
    <xf numFmtId="164" fontId="1" fillId="5" borderId="0" xfId="1" applyNumberFormat="1" applyFill="1"/>
    <xf numFmtId="164" fontId="1" fillId="6" borderId="0" xfId="1" applyNumberFormat="1" applyFill="1"/>
    <xf numFmtId="164" fontId="1" fillId="7" borderId="0" xfId="1" applyNumberFormat="1" applyFill="1"/>
    <xf numFmtId="0" fontId="1" fillId="3" borderId="0" xfId="3" applyAlignment="1">
      <alignment horizontal="center" vertical="center" wrapText="1"/>
    </xf>
    <xf numFmtId="0" fontId="1" fillId="4" borderId="0" xfId="4" applyAlignment="1">
      <alignment horizontal="center"/>
    </xf>
    <xf numFmtId="0" fontId="1" fillId="5" borderId="0" xfId="5" applyAlignment="1">
      <alignment horizontal="center"/>
    </xf>
    <xf numFmtId="0" fontId="1" fillId="6" borderId="0" xfId="6" applyAlignment="1">
      <alignment horizontal="center"/>
    </xf>
    <xf numFmtId="0" fontId="1" fillId="7" borderId="0" xfId="7" applyAlignment="1">
      <alignment horizontal="center"/>
    </xf>
    <xf numFmtId="0" fontId="0" fillId="0" borderId="0" xfId="0" applyAlignment="1">
      <alignment horizontal="center"/>
    </xf>
    <xf numFmtId="0" fontId="2" fillId="2" borderId="0" xfId="2" applyAlignment="1">
      <alignment horizontal="center"/>
    </xf>
    <xf numFmtId="164" fontId="1" fillId="3" borderId="0" xfId="3" applyNumberFormat="1"/>
    <xf numFmtId="9" fontId="1" fillId="3" borderId="1" xfId="3" applyNumberFormat="1" applyBorder="1"/>
    <xf numFmtId="2" fontId="1" fillId="3" borderId="1" xfId="3" applyNumberFormat="1" applyBorder="1"/>
    <xf numFmtId="0" fontId="1" fillId="3" borderId="2" xfId="3" applyBorder="1" applyAlignment="1">
      <alignment horizontal="center"/>
    </xf>
    <xf numFmtId="0" fontId="1" fillId="3" borderId="3" xfId="3" applyBorder="1" applyAlignment="1">
      <alignment horizontal="left"/>
    </xf>
    <xf numFmtId="0" fontId="1" fillId="3" borderId="1" xfId="3" applyBorder="1"/>
    <xf numFmtId="165" fontId="1" fillId="3" borderId="1" xfId="3" applyNumberFormat="1" applyBorder="1"/>
    <xf numFmtId="164" fontId="1" fillId="4" borderId="0" xfId="4" applyNumberFormat="1"/>
    <xf numFmtId="9" fontId="1" fillId="4" borderId="1" xfId="4" applyNumberFormat="1" applyBorder="1"/>
    <xf numFmtId="2" fontId="1" fillId="4" borderId="1" xfId="4" applyNumberFormat="1" applyBorder="1"/>
    <xf numFmtId="0" fontId="1" fillId="4" borderId="1" xfId="4" applyBorder="1"/>
    <xf numFmtId="165" fontId="1" fillId="4" borderId="1" xfId="4" applyNumberFormat="1" applyBorder="1"/>
    <xf numFmtId="0" fontId="1" fillId="4" borderId="2" xfId="4" applyBorder="1" applyAlignment="1">
      <alignment horizontal="center"/>
    </xf>
    <xf numFmtId="0" fontId="1" fillId="4" borderId="3" xfId="4" applyBorder="1" applyAlignment="1">
      <alignment horizontal="left"/>
    </xf>
    <xf numFmtId="164" fontId="1" fillId="5" borderId="0" xfId="5" applyNumberFormat="1"/>
    <xf numFmtId="9" fontId="1" fillId="5" borderId="1" xfId="5" applyNumberFormat="1" applyBorder="1"/>
    <xf numFmtId="2" fontId="1" fillId="5" borderId="1" xfId="5" applyNumberFormat="1" applyBorder="1"/>
    <xf numFmtId="0" fontId="1" fillId="5" borderId="1" xfId="5" applyBorder="1"/>
    <xf numFmtId="165" fontId="1" fillId="5" borderId="1" xfId="5" applyNumberFormat="1" applyBorder="1"/>
    <xf numFmtId="0" fontId="1" fillId="5" borderId="2" xfId="5" applyBorder="1" applyAlignment="1">
      <alignment horizontal="center"/>
    </xf>
    <xf numFmtId="0" fontId="1" fillId="5" borderId="3" xfId="5" applyBorder="1" applyAlignment="1">
      <alignment horizontal="left"/>
    </xf>
    <xf numFmtId="164" fontId="1" fillId="6" borderId="0" xfId="6" applyNumberFormat="1"/>
    <xf numFmtId="9" fontId="1" fillId="6" borderId="1" xfId="6" applyNumberFormat="1" applyBorder="1"/>
    <xf numFmtId="2" fontId="1" fillId="6" borderId="1" xfId="6" applyNumberFormat="1" applyBorder="1"/>
    <xf numFmtId="0" fontId="1" fillId="6" borderId="1" xfId="6" applyBorder="1"/>
    <xf numFmtId="165" fontId="1" fillId="6" borderId="1" xfId="6" applyNumberFormat="1" applyBorder="1"/>
    <xf numFmtId="0" fontId="1" fillId="6" borderId="2" xfId="6" applyBorder="1" applyAlignment="1">
      <alignment horizontal="center"/>
    </xf>
    <xf numFmtId="0" fontId="1" fillId="6" borderId="3" xfId="6" applyBorder="1" applyAlignment="1">
      <alignment horizontal="left"/>
    </xf>
    <xf numFmtId="164" fontId="1" fillId="7" borderId="0" xfId="7" applyNumberFormat="1"/>
    <xf numFmtId="9" fontId="1" fillId="7" borderId="1" xfId="7" applyNumberFormat="1" applyBorder="1"/>
    <xf numFmtId="2" fontId="1" fillId="7" borderId="1" xfId="7" applyNumberFormat="1" applyBorder="1"/>
    <xf numFmtId="0" fontId="1" fillId="7" borderId="1" xfId="7" applyBorder="1"/>
    <xf numFmtId="165" fontId="1" fillId="7" borderId="1" xfId="7" applyNumberFormat="1" applyBorder="1"/>
    <xf numFmtId="0" fontId="1" fillId="7" borderId="2" xfId="7" applyBorder="1" applyAlignment="1">
      <alignment horizontal="center"/>
    </xf>
    <xf numFmtId="0" fontId="1" fillId="7" borderId="3" xfId="7" applyBorder="1" applyAlignment="1">
      <alignment horizontal="left"/>
    </xf>
    <xf numFmtId="0" fontId="1" fillId="8" borderId="0" xfId="8" applyNumberFormat="1" applyBorder="1" applyAlignment="1" applyProtection="1"/>
    <xf numFmtId="0" fontId="1" fillId="8" borderId="0" xfId="8"/>
    <xf numFmtId="0" fontId="1" fillId="3" borderId="0" xfId="3" applyNumberFormat="1" applyBorder="1" applyAlignment="1" applyProtection="1"/>
    <xf numFmtId="1" fontId="1" fillId="3" borderId="0" xfId="3" applyNumberFormat="1" applyBorder="1" applyAlignment="1" applyProtection="1"/>
    <xf numFmtId="166" fontId="1" fillId="3" borderId="0" xfId="3" applyNumberFormat="1" applyBorder="1" applyAlignment="1" applyProtection="1"/>
    <xf numFmtId="2" fontId="1" fillId="3" borderId="0" xfId="3" applyNumberFormat="1" applyBorder="1" applyAlignment="1" applyProtection="1"/>
    <xf numFmtId="0" fontId="1" fillId="4" borderId="0" xfId="4" applyNumberFormat="1" applyBorder="1" applyAlignment="1" applyProtection="1"/>
    <xf numFmtId="1" fontId="1" fillId="4" borderId="0" xfId="4" applyNumberFormat="1" applyBorder="1" applyAlignment="1" applyProtection="1"/>
    <xf numFmtId="166" fontId="1" fillId="4" borderId="0" xfId="4" applyNumberFormat="1" applyBorder="1" applyAlignment="1" applyProtection="1"/>
    <xf numFmtId="2" fontId="1" fillId="4" borderId="0" xfId="4" applyNumberFormat="1" applyBorder="1" applyAlignment="1" applyProtection="1"/>
    <xf numFmtId="0" fontId="1" fillId="5" borderId="0" xfId="5" applyNumberFormat="1" applyBorder="1" applyAlignment="1" applyProtection="1"/>
    <xf numFmtId="1" fontId="1" fillId="5" borderId="0" xfId="5" applyNumberFormat="1" applyBorder="1" applyAlignment="1" applyProtection="1"/>
    <xf numFmtId="166" fontId="1" fillId="5" borderId="0" xfId="5" applyNumberFormat="1" applyBorder="1" applyAlignment="1" applyProtection="1"/>
    <xf numFmtId="2" fontId="1" fillId="5" borderId="0" xfId="5" applyNumberFormat="1" applyBorder="1" applyAlignment="1" applyProtection="1"/>
    <xf numFmtId="0" fontId="1" fillId="7" borderId="0" xfId="7" applyNumberFormat="1" applyBorder="1" applyAlignment="1" applyProtection="1"/>
    <xf numFmtId="1" fontId="1" fillId="7" borderId="0" xfId="7" applyNumberFormat="1" applyBorder="1" applyAlignment="1" applyProtection="1"/>
    <xf numFmtId="166" fontId="1" fillId="7" borderId="0" xfId="7" applyNumberFormat="1" applyBorder="1" applyAlignment="1" applyProtection="1"/>
    <xf numFmtId="2" fontId="1" fillId="7" borderId="0" xfId="7" applyNumberFormat="1" applyBorder="1" applyAlignment="1" applyProtection="1"/>
    <xf numFmtId="0" fontId="1" fillId="9" borderId="0" xfId="9" applyNumberFormat="1" applyBorder="1" applyAlignment="1" applyProtection="1"/>
    <xf numFmtId="1" fontId="1" fillId="9" borderId="0" xfId="9" applyNumberFormat="1" applyBorder="1" applyAlignment="1" applyProtection="1"/>
    <xf numFmtId="166" fontId="1" fillId="9" borderId="0" xfId="9" applyNumberFormat="1" applyBorder="1" applyAlignment="1" applyProtection="1"/>
    <xf numFmtId="2" fontId="1" fillId="9" borderId="0" xfId="9" applyNumberFormat="1" applyBorder="1" applyAlignment="1" applyProtection="1"/>
    <xf numFmtId="0" fontId="0" fillId="6" borderId="0" xfId="6" applyFont="1" applyAlignment="1">
      <alignment horizontal="center"/>
    </xf>
  </cellXfs>
  <cellStyles count="10">
    <cellStyle name="20% - Accent1" xfId="3" builtinId="30"/>
    <cellStyle name="40% - Accent2" xfId="4" builtinId="35"/>
    <cellStyle name="40% - Accent3" xfId="5" builtinId="39"/>
    <cellStyle name="40% - Accent4" xfId="6" builtinId="43"/>
    <cellStyle name="40% - Accent5" xfId="7" builtinId="47"/>
    <cellStyle name="60% - Accent1" xfId="8" builtinId="32"/>
    <cellStyle name="60% - Accent6" xfId="9" builtinId="52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D0A25-DCF2-42BB-BA88-6F6D7D117A09}">
  <dimension ref="A1:F31"/>
  <sheetViews>
    <sheetView topLeftCell="A4" workbookViewId="0">
      <selection activeCell="I10" sqref="I10"/>
    </sheetView>
  </sheetViews>
  <sheetFormatPr defaultRowHeight="14.4" x14ac:dyDescent="0.3"/>
  <cols>
    <col min="1" max="1" width="16.5546875" bestFit="1" customWidth="1"/>
    <col min="2" max="2" width="13.5546875" bestFit="1" customWidth="1"/>
    <col min="3" max="3" width="10.109375" bestFit="1" customWidth="1"/>
    <col min="4" max="4" width="10.77734375" bestFit="1" customWidth="1"/>
    <col min="5" max="5" width="11.109375" bestFit="1" customWidth="1"/>
    <col min="6" max="6" width="10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13" t="s">
        <v>24</v>
      </c>
      <c r="C2" s="8">
        <v>39783</v>
      </c>
      <c r="D2" s="8">
        <v>6756</v>
      </c>
      <c r="E2" s="8">
        <v>20153</v>
      </c>
      <c r="F2" s="8">
        <v>8229</v>
      </c>
    </row>
    <row r="3" spans="1:6" x14ac:dyDescent="0.3">
      <c r="A3" s="2" t="s">
        <v>6</v>
      </c>
      <c r="B3" s="13" t="s">
        <v>25</v>
      </c>
      <c r="C3" s="8">
        <v>47028</v>
      </c>
      <c r="D3" s="8">
        <v>7999</v>
      </c>
      <c r="E3" s="8">
        <v>68740</v>
      </c>
      <c r="F3" s="8">
        <v>47674</v>
      </c>
    </row>
    <row r="4" spans="1:6" x14ac:dyDescent="0.3">
      <c r="A4" s="2" t="s">
        <v>6</v>
      </c>
      <c r="B4" s="13" t="s">
        <v>26</v>
      </c>
      <c r="C4" s="8">
        <v>52446</v>
      </c>
      <c r="D4" s="8">
        <v>8892</v>
      </c>
      <c r="E4" s="8">
        <v>70506</v>
      </c>
      <c r="F4" s="8">
        <v>49061</v>
      </c>
    </row>
    <row r="5" spans="1:6" x14ac:dyDescent="0.3">
      <c r="A5" s="2" t="s">
        <v>6</v>
      </c>
      <c r="B5" s="13" t="s">
        <v>27</v>
      </c>
      <c r="C5" s="8">
        <v>60580</v>
      </c>
      <c r="D5" s="8">
        <v>10143</v>
      </c>
      <c r="E5" s="8">
        <v>73077</v>
      </c>
      <c r="F5" s="8">
        <v>50304</v>
      </c>
    </row>
    <row r="6" spans="1:6" x14ac:dyDescent="0.3">
      <c r="A6" s="2" t="s">
        <v>6</v>
      </c>
      <c r="B6" s="13" t="s">
        <v>28</v>
      </c>
      <c r="C6" s="8">
        <v>61896</v>
      </c>
      <c r="D6" s="8">
        <v>10282</v>
      </c>
      <c r="E6" s="8">
        <v>78489</v>
      </c>
      <c r="F6" s="8">
        <v>51218</v>
      </c>
    </row>
    <row r="7" spans="1:6" x14ac:dyDescent="0.3">
      <c r="A7" s="2" t="s">
        <v>6</v>
      </c>
      <c r="B7" s="13" t="s">
        <v>29</v>
      </c>
      <c r="C7" s="8">
        <v>63121</v>
      </c>
      <c r="D7" s="8">
        <v>10671</v>
      </c>
      <c r="E7" s="8">
        <v>79863</v>
      </c>
      <c r="F7" s="8">
        <v>49402</v>
      </c>
    </row>
    <row r="8" spans="1:6" x14ac:dyDescent="0.3">
      <c r="A8" s="4" t="s">
        <v>7</v>
      </c>
      <c r="B8" s="14" t="s">
        <v>24</v>
      </c>
      <c r="C8" s="9">
        <v>49388</v>
      </c>
      <c r="D8" s="9">
        <v>15593</v>
      </c>
      <c r="E8" s="9">
        <v>77311</v>
      </c>
      <c r="F8" s="9">
        <v>65273</v>
      </c>
    </row>
    <row r="9" spans="1:6" x14ac:dyDescent="0.3">
      <c r="A9" s="4" t="s">
        <v>7</v>
      </c>
      <c r="B9" s="14" t="s">
        <v>25</v>
      </c>
      <c r="C9" s="9">
        <v>49257</v>
      </c>
      <c r="D9" s="9">
        <v>13383</v>
      </c>
      <c r="E9" s="9">
        <v>73761</v>
      </c>
      <c r="F9" s="9">
        <v>60347</v>
      </c>
    </row>
    <row r="10" spans="1:6" x14ac:dyDescent="0.3">
      <c r="A10" s="4" t="s">
        <v>7</v>
      </c>
      <c r="B10" s="14" t="s">
        <v>26</v>
      </c>
      <c r="C10" s="9">
        <v>60645</v>
      </c>
      <c r="D10" s="9">
        <v>15503</v>
      </c>
      <c r="E10" s="9">
        <v>77196</v>
      </c>
      <c r="F10" s="9">
        <v>62455</v>
      </c>
    </row>
    <row r="11" spans="1:6" x14ac:dyDescent="0.3">
      <c r="A11" s="4" t="s">
        <v>7</v>
      </c>
      <c r="B11" s="14" t="s">
        <v>27</v>
      </c>
      <c r="C11" s="9">
        <v>70919</v>
      </c>
      <c r="D11" s="9">
        <v>19477</v>
      </c>
      <c r="E11" s="9">
        <v>85831</v>
      </c>
      <c r="F11" s="9">
        <v>69155</v>
      </c>
    </row>
    <row r="12" spans="1:6" x14ac:dyDescent="0.3">
      <c r="A12" s="4" t="s">
        <v>7</v>
      </c>
      <c r="B12" s="14" t="s">
        <v>28</v>
      </c>
      <c r="C12" s="9">
        <v>67932</v>
      </c>
      <c r="D12" s="9">
        <v>20751</v>
      </c>
      <c r="E12" s="9">
        <v>91754</v>
      </c>
      <c r="F12" s="9">
        <v>74507</v>
      </c>
    </row>
    <row r="13" spans="1:6" x14ac:dyDescent="0.3">
      <c r="A13" s="4" t="s">
        <v>7</v>
      </c>
      <c r="B13" s="14" t="s">
        <v>29</v>
      </c>
      <c r="C13" s="9">
        <v>75323</v>
      </c>
      <c r="D13" s="9">
        <v>35052</v>
      </c>
      <c r="E13" s="9">
        <v>88003</v>
      </c>
      <c r="F13" s="9">
        <v>70030</v>
      </c>
    </row>
    <row r="14" spans="1:6" x14ac:dyDescent="0.3">
      <c r="A14" s="5" t="s">
        <v>8</v>
      </c>
      <c r="B14" s="15" t="s">
        <v>24</v>
      </c>
      <c r="C14" s="10">
        <v>12369</v>
      </c>
      <c r="D14" s="10">
        <v>1968</v>
      </c>
      <c r="E14" s="10">
        <v>7173</v>
      </c>
      <c r="F14" s="10">
        <v>1918</v>
      </c>
    </row>
    <row r="15" spans="1:6" x14ac:dyDescent="0.3">
      <c r="A15" s="5" t="s">
        <v>8</v>
      </c>
      <c r="B15" s="15" t="s">
        <v>25</v>
      </c>
      <c r="C15" s="10">
        <v>13350</v>
      </c>
      <c r="D15" s="10">
        <v>2082</v>
      </c>
      <c r="E15" s="10">
        <v>7900</v>
      </c>
      <c r="F15" s="10">
        <v>2019</v>
      </c>
    </row>
    <row r="16" spans="1:6" x14ac:dyDescent="0.3">
      <c r="A16" s="5" t="s">
        <v>8</v>
      </c>
      <c r="B16" s="15" t="s">
        <v>26</v>
      </c>
      <c r="C16" s="10">
        <v>14741</v>
      </c>
      <c r="D16" s="10">
        <v>2118</v>
      </c>
      <c r="E16" s="10">
        <v>8234</v>
      </c>
      <c r="F16" s="10">
        <v>1946</v>
      </c>
    </row>
    <row r="17" spans="1:6" x14ac:dyDescent="0.3">
      <c r="A17" s="5" t="s">
        <v>8</v>
      </c>
      <c r="B17" s="15" t="s">
        <v>27</v>
      </c>
      <c r="C17" s="10">
        <v>16897</v>
      </c>
      <c r="D17" s="10">
        <v>2391</v>
      </c>
      <c r="E17" s="10">
        <v>8979</v>
      </c>
      <c r="F17" s="10">
        <v>2459</v>
      </c>
    </row>
    <row r="18" spans="1:6" x14ac:dyDescent="0.3">
      <c r="A18" s="5" t="s">
        <v>8</v>
      </c>
      <c r="B18" s="15" t="s">
        <v>28</v>
      </c>
      <c r="C18" s="10">
        <v>19126</v>
      </c>
      <c r="D18" s="10">
        <v>2999</v>
      </c>
      <c r="E18" s="10">
        <v>8979</v>
      </c>
      <c r="F18" s="10">
        <v>2459</v>
      </c>
    </row>
    <row r="19" spans="1:6" x14ac:dyDescent="0.3">
      <c r="A19" s="5" t="s">
        <v>8</v>
      </c>
      <c r="B19" s="15" t="s">
        <v>29</v>
      </c>
      <c r="C19" s="10">
        <v>24394</v>
      </c>
      <c r="D19" s="10">
        <v>3933</v>
      </c>
      <c r="E19" s="10">
        <v>10523</v>
      </c>
      <c r="F19" s="10">
        <v>3340</v>
      </c>
    </row>
    <row r="20" spans="1:6" x14ac:dyDescent="0.3">
      <c r="A20" s="6" t="s">
        <v>9</v>
      </c>
      <c r="B20" s="16" t="s">
        <v>24</v>
      </c>
      <c r="C20" s="11">
        <v>11055</v>
      </c>
      <c r="D20" s="11">
        <v>1155</v>
      </c>
      <c r="E20" s="11">
        <v>6238</v>
      </c>
      <c r="F20" s="11">
        <v>4253</v>
      </c>
    </row>
    <row r="21" spans="1:6" x14ac:dyDescent="0.3">
      <c r="A21" s="6" t="s">
        <v>9</v>
      </c>
      <c r="B21" s="16" t="s">
        <v>25</v>
      </c>
      <c r="C21" s="11">
        <v>11600</v>
      </c>
      <c r="D21" s="11">
        <v>1394</v>
      </c>
      <c r="E21" s="11">
        <v>7830</v>
      </c>
      <c r="F21" s="11">
        <v>4403</v>
      </c>
    </row>
    <row r="22" spans="1:6" x14ac:dyDescent="0.3">
      <c r="A22" s="6" t="s">
        <v>9</v>
      </c>
      <c r="B22" s="16" t="s">
        <v>26</v>
      </c>
      <c r="C22" s="11">
        <v>13136</v>
      </c>
      <c r="D22" s="11">
        <v>1851</v>
      </c>
      <c r="E22" s="11">
        <v>8000</v>
      </c>
      <c r="F22" s="11">
        <v>3548</v>
      </c>
    </row>
    <row r="23" spans="1:6" x14ac:dyDescent="0.3">
      <c r="A23" s="6" t="s">
        <v>9</v>
      </c>
      <c r="B23" s="16" t="s">
        <v>27</v>
      </c>
      <c r="C23" s="11">
        <v>14136</v>
      </c>
      <c r="D23" s="11">
        <v>1516</v>
      </c>
      <c r="E23" s="11">
        <v>7527</v>
      </c>
      <c r="F23" s="11">
        <v>2558</v>
      </c>
    </row>
    <row r="24" spans="1:6" x14ac:dyDescent="0.3">
      <c r="A24" s="6" t="s">
        <v>9</v>
      </c>
      <c r="B24" s="16" t="s">
        <v>28</v>
      </c>
      <c r="C24" s="11">
        <v>16301</v>
      </c>
      <c r="D24" s="11">
        <v>2316</v>
      </c>
      <c r="E24" s="11">
        <v>9351</v>
      </c>
      <c r="F24" s="11">
        <v>3534</v>
      </c>
    </row>
    <row r="25" spans="1:6" x14ac:dyDescent="0.3">
      <c r="A25" s="6" t="s">
        <v>9</v>
      </c>
      <c r="B25" s="16" t="s">
        <v>29</v>
      </c>
      <c r="C25" s="11">
        <v>16769</v>
      </c>
      <c r="D25" s="11">
        <v>2134</v>
      </c>
      <c r="E25" s="11">
        <v>9072</v>
      </c>
      <c r="F25" s="11">
        <v>3941</v>
      </c>
    </row>
    <row r="26" spans="1:6" x14ac:dyDescent="0.3">
      <c r="A26" s="7" t="s">
        <v>10</v>
      </c>
      <c r="B26" s="17" t="s">
        <v>24</v>
      </c>
      <c r="C26" s="12">
        <v>8515</v>
      </c>
      <c r="D26" s="12">
        <v>1446</v>
      </c>
      <c r="E26" s="12">
        <v>8437</v>
      </c>
      <c r="F26" s="12">
        <v>5632</v>
      </c>
    </row>
    <row r="27" spans="1:6" x14ac:dyDescent="0.3">
      <c r="A27" s="7" t="s">
        <v>10</v>
      </c>
      <c r="B27" s="17" t="s">
        <v>25</v>
      </c>
      <c r="C27" s="12">
        <v>8685</v>
      </c>
      <c r="D27" s="12">
        <v>1448</v>
      </c>
      <c r="E27" s="12">
        <v>9337</v>
      </c>
      <c r="F27" s="12">
        <v>6606</v>
      </c>
    </row>
    <row r="28" spans="1:6" x14ac:dyDescent="0.3">
      <c r="A28" s="7" t="s">
        <v>10</v>
      </c>
      <c r="B28" s="17" t="s">
        <v>26</v>
      </c>
      <c r="C28" s="12">
        <v>9562</v>
      </c>
      <c r="D28" s="12">
        <v>1695</v>
      </c>
      <c r="E28" s="12">
        <v>10833</v>
      </c>
      <c r="F28" s="12">
        <v>7664</v>
      </c>
    </row>
    <row r="29" spans="1:6" x14ac:dyDescent="0.3">
      <c r="A29" s="7" t="s">
        <v>10</v>
      </c>
      <c r="B29" s="17" t="s">
        <v>27</v>
      </c>
      <c r="C29" s="12">
        <v>10889</v>
      </c>
      <c r="D29" s="12">
        <v>1742</v>
      </c>
      <c r="E29" s="12">
        <v>12284</v>
      </c>
      <c r="F29" s="12">
        <v>8382</v>
      </c>
    </row>
    <row r="30" spans="1:6" x14ac:dyDescent="0.3">
      <c r="A30" s="7" t="s">
        <v>10</v>
      </c>
      <c r="B30" s="17" t="s">
        <v>28</v>
      </c>
      <c r="C30" s="12">
        <v>11530</v>
      </c>
      <c r="D30" s="12">
        <v>1701</v>
      </c>
      <c r="E30" s="12">
        <v>13652</v>
      </c>
      <c r="F30" s="12">
        <v>8973</v>
      </c>
    </row>
    <row r="31" spans="1:6" x14ac:dyDescent="0.3">
      <c r="A31" s="7" t="s">
        <v>10</v>
      </c>
      <c r="B31" s="17" t="s">
        <v>29</v>
      </c>
      <c r="C31" s="12">
        <v>12404</v>
      </c>
      <c r="D31" s="12">
        <v>1811</v>
      </c>
      <c r="E31" s="12">
        <v>15116</v>
      </c>
      <c r="F31" s="12">
        <v>9866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A2472-14F1-438D-99D9-2AE0D7721CBE}">
  <dimension ref="A1:S32"/>
  <sheetViews>
    <sheetView zoomScale="80" zoomScaleNormal="80" workbookViewId="0">
      <selection activeCell="A20" sqref="A20"/>
    </sheetView>
  </sheetViews>
  <sheetFormatPr defaultRowHeight="14.4" x14ac:dyDescent="0.3"/>
  <cols>
    <col min="1" max="1" width="17.6640625" bestFit="1" customWidth="1"/>
    <col min="2" max="2" width="11" bestFit="1" customWidth="1"/>
    <col min="3" max="3" width="9.44140625" bestFit="1" customWidth="1"/>
    <col min="4" max="4" width="11.21875" bestFit="1" customWidth="1"/>
    <col min="5" max="5" width="11.6640625" bestFit="1" customWidth="1"/>
    <col min="6" max="6" width="11.33203125" bestFit="1" customWidth="1"/>
    <col min="7" max="7" width="12.21875" bestFit="1" customWidth="1"/>
    <col min="8" max="8" width="13.88671875" bestFit="1" customWidth="1"/>
    <col min="9" max="9" width="15.33203125" bestFit="1" customWidth="1"/>
    <col min="10" max="10" width="5" bestFit="1" customWidth="1"/>
    <col min="11" max="12" width="13.88671875" bestFit="1" customWidth="1"/>
    <col min="13" max="13" width="12.109375" bestFit="1" customWidth="1"/>
    <col min="14" max="16" width="9" bestFit="1" customWidth="1"/>
    <col min="17" max="17" width="9.88671875" bestFit="1" customWidth="1"/>
    <col min="18" max="18" width="46.88671875" bestFit="1" customWidth="1"/>
    <col min="19" max="19" width="80.88671875" bestFit="1" customWidth="1"/>
  </cols>
  <sheetData>
    <row r="1" spans="1:19" s="18" customFormat="1" ht="15" thickBot="1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11</v>
      </c>
      <c r="H1" s="19" t="s">
        <v>12</v>
      </c>
      <c r="I1" s="19" t="s">
        <v>13</v>
      </c>
      <c r="J1" s="19" t="s">
        <v>14</v>
      </c>
      <c r="K1" s="19" t="s">
        <v>15</v>
      </c>
      <c r="L1" s="19" t="s">
        <v>16</v>
      </c>
      <c r="M1" s="19" t="s">
        <v>17</v>
      </c>
      <c r="N1" s="19" t="s">
        <v>18</v>
      </c>
      <c r="O1" s="19" t="s">
        <v>19</v>
      </c>
      <c r="P1" s="19" t="s">
        <v>20</v>
      </c>
      <c r="Q1" s="19" t="s">
        <v>21</v>
      </c>
      <c r="R1" s="19" t="s">
        <v>22</v>
      </c>
      <c r="S1" s="19" t="s">
        <v>23</v>
      </c>
    </row>
    <row r="2" spans="1:19" ht="15.6" thickTop="1" thickBot="1" x14ac:dyDescent="0.35">
      <c r="A2" s="13" t="s">
        <v>6</v>
      </c>
      <c r="B2" s="13" t="s">
        <v>24</v>
      </c>
      <c r="C2" s="20">
        <v>39783</v>
      </c>
      <c r="D2" s="20">
        <v>6756</v>
      </c>
      <c r="E2" s="20">
        <v>20153</v>
      </c>
      <c r="F2" s="20">
        <v>8229</v>
      </c>
      <c r="G2" s="21">
        <f>D2/C2</f>
        <v>0.16982128044642184</v>
      </c>
      <c r="H2" s="22">
        <f>C2/E2</f>
        <v>1.974048528755024</v>
      </c>
      <c r="I2" s="22">
        <f>E2/F2</f>
        <v>2.4490217523392879</v>
      </c>
      <c r="J2" s="22">
        <f>G2*H2*I2</f>
        <v>0.82099890630696315</v>
      </c>
      <c r="K2" s="3"/>
      <c r="L2" s="3"/>
      <c r="M2" s="3"/>
      <c r="N2" s="23" t="str">
        <f>IF(G2&gt;0.15,"High",IF(G2&gt;0.08,"Moderate","Low"))</f>
        <v>High</v>
      </c>
      <c r="O2" s="23" t="str">
        <f>IF(H2&gt;1.5,"High",IF(H2&gt;1,"Moderate","Low"))</f>
        <v>High</v>
      </c>
      <c r="P2" s="23" t="str">
        <f>IF(I2&gt;2,"High",IF(I2&gt;1.5,"Moderate","Low"))</f>
        <v>High</v>
      </c>
      <c r="Q2" s="23" t="str">
        <f>IF(J2&gt;0.2,"High",IF(J2&gt;0.12,"Moderate","Low"))</f>
        <v>High</v>
      </c>
      <c r="R2" s="24" t="str">
        <f>IF(Q2="High",
    IF(N2="High","High ROE driven by strong profitability",
    IF(P2="High","High ROE driven by financial leverage",
    IF(O2="High","High ROE driven by efficient asset utilization",
    "High ROE with balanced drivers"))),
IF(Q2="Moderate",
    "Moderate performance with balanced financial drivers",
    "Low performance due to weak financial drivers"))</f>
        <v>High ROE driven by strong profitability</v>
      </c>
      <c r="S2" s="24" t="str">
        <f>IF(AND(N2="High",O2="Low"),
   "Premium pricing strategy with strong margins but lower asset utilization",
IF(AND(N2="Low",O2="High"),
   "Volume-driven strategy with efficient asset utilization but lower margins",
IF(AND(N2="High",O2="High"),
   "Strong overall business performance with both high profitability and efficiency",
IF(P2="High",
   "Performance significantly influenced by financial leverage, indicating higher risk-return profile",
IF(Q2="High",
   "Strong financial performance driven by balanced operational efficiency and profitability",
IF(Q2="Moderate",
   "Stable performance with moderate financial and operational efficiency",
   "Weak financial performance due to poor operational and financial drivers"))))))</f>
        <v>Strong overall business performance with both high profitability and efficiency</v>
      </c>
    </row>
    <row r="3" spans="1:19" ht="15.6" thickTop="1" thickBot="1" x14ac:dyDescent="0.35">
      <c r="A3" s="13" t="s">
        <v>6</v>
      </c>
      <c r="B3" s="13" t="s">
        <v>25</v>
      </c>
      <c r="C3" s="20">
        <v>47028</v>
      </c>
      <c r="D3" s="20">
        <v>7999</v>
      </c>
      <c r="E3" s="20">
        <v>68740</v>
      </c>
      <c r="F3" s="20">
        <v>47674</v>
      </c>
      <c r="G3" s="21">
        <f t="shared" ref="G3:G31" si="0">D3/C3</f>
        <v>0.17009015905418048</v>
      </c>
      <c r="H3" s="22">
        <f t="shared" ref="H3:H31" si="1">C3/E3</f>
        <v>0.68414314809426824</v>
      </c>
      <c r="I3" s="22">
        <f t="shared" ref="I3:I31" si="2">E3/F3</f>
        <v>1.441876075009439</v>
      </c>
      <c r="J3" s="22">
        <f t="shared" ref="J3:J31" si="3">G3*H3*I3</f>
        <v>0.16778537567646934</v>
      </c>
      <c r="K3" s="25">
        <f>(C3 - C2)/C2</f>
        <v>0.18211296282331649</v>
      </c>
      <c r="L3" s="25">
        <f>(D3 - D2)/D2</f>
        <v>0.18398460627590291</v>
      </c>
      <c r="M3" s="26">
        <f>(J3 - J2)</f>
        <v>-0.65321353063049381</v>
      </c>
      <c r="N3" s="23" t="str">
        <f t="shared" ref="N3:N31" si="4">IF(G3&gt;0.15,"High",IF(G3&gt;0.08,"Moderate","Low"))</f>
        <v>High</v>
      </c>
      <c r="O3" s="23" t="str">
        <f t="shared" ref="O3:O31" si="5">IF(H3&gt;1.5,"High",IF(H3&gt;1,"Moderate","Low"))</f>
        <v>Low</v>
      </c>
      <c r="P3" s="23" t="str">
        <f t="shared" ref="P3:P31" si="6">IF(I3&gt;2,"High",IF(I3&gt;1.5,"Moderate","Low"))</f>
        <v>Low</v>
      </c>
      <c r="Q3" s="23" t="str">
        <f t="shared" ref="Q3:Q31" si="7">IF(J3&gt;0.2,"High",IF(J3&gt;0.12,"Moderate","Low"))</f>
        <v>Moderate</v>
      </c>
      <c r="R3" s="24" t="str">
        <f t="shared" ref="R3:R31" si="8">IF(Q3="High",
    IF(N3="High","High ROE driven by strong profitability",
    IF(P3="High","High ROE driven by financial leverage",
    IF(O3="High","High ROE driven by efficient asset utilization",
    "High ROE with balanced drivers"))),
IF(Q3="Moderate",
    "Moderate performance with balanced financial drivers",
    "Low performance due to weak financial drivers"))</f>
        <v>Moderate performance with balanced financial drivers</v>
      </c>
      <c r="S3" s="24" t="str">
        <f t="shared" ref="S3:S31" si="9">IF(AND(N3="High",O3="Low"),
   "Premium pricing strategy with strong margins but lower asset utilization",
IF(AND(N3="Low",O3="High"),
   "Volume-driven strategy with efficient asset utilization but lower margins",
IF(AND(N3="High",O3="High"),
   "Strong overall business performance with both high profitability and efficiency",
IF(P3="High",
   "Performance significantly influenced by financial leverage, indicating higher risk-return profile",
IF(Q3="High",
   "Strong financial performance driven by balanced operational efficiency and profitability",
IF(Q3="Moderate",
   "Stable performance with moderate financial and operational efficiency",
   "Weak financial performance due to poor operational and financial drivers"))))))</f>
        <v>Premium pricing strategy with strong margins but lower asset utilization</v>
      </c>
    </row>
    <row r="4" spans="1:19" ht="15.6" thickTop="1" thickBot="1" x14ac:dyDescent="0.35">
      <c r="A4" s="13" t="s">
        <v>6</v>
      </c>
      <c r="B4" s="13" t="s">
        <v>26</v>
      </c>
      <c r="C4" s="20">
        <v>52446</v>
      </c>
      <c r="D4" s="20">
        <v>8892</v>
      </c>
      <c r="E4" s="20">
        <v>70506</v>
      </c>
      <c r="F4" s="20">
        <v>49061</v>
      </c>
      <c r="G4" s="21">
        <f t="shared" si="0"/>
        <v>0.16954581855622927</v>
      </c>
      <c r="H4" s="22">
        <f t="shared" si="1"/>
        <v>0.74385158709897026</v>
      </c>
      <c r="I4" s="22">
        <f t="shared" si="2"/>
        <v>1.4371089052404149</v>
      </c>
      <c r="J4" s="22">
        <f t="shared" si="3"/>
        <v>0.18124375777093821</v>
      </c>
      <c r="K4" s="25">
        <f t="shared" ref="K4:K31" si="10">(C4 - C3)/C3</f>
        <v>0.11520796121459556</v>
      </c>
      <c r="L4" s="25">
        <f t="shared" ref="L4:L31" si="11">(D4 - D3)/D3</f>
        <v>0.11163895486935867</v>
      </c>
      <c r="M4" s="26">
        <f t="shared" ref="M4:M31" si="12">(J4 - J3)</f>
        <v>1.3458382094468868E-2</v>
      </c>
      <c r="N4" s="23" t="str">
        <f t="shared" si="4"/>
        <v>High</v>
      </c>
      <c r="O4" s="23" t="str">
        <f t="shared" si="5"/>
        <v>Low</v>
      </c>
      <c r="P4" s="23" t="str">
        <f t="shared" si="6"/>
        <v>Low</v>
      </c>
      <c r="Q4" s="23" t="str">
        <f t="shared" si="7"/>
        <v>Moderate</v>
      </c>
      <c r="R4" s="24" t="str">
        <f t="shared" si="8"/>
        <v>Moderate performance with balanced financial drivers</v>
      </c>
      <c r="S4" s="24" t="str">
        <f t="shared" si="9"/>
        <v>Premium pricing strategy with strong margins but lower asset utilization</v>
      </c>
    </row>
    <row r="5" spans="1:19" ht="15.6" thickTop="1" thickBot="1" x14ac:dyDescent="0.35">
      <c r="A5" s="13" t="s">
        <v>6</v>
      </c>
      <c r="B5" s="13" t="s">
        <v>27</v>
      </c>
      <c r="C5" s="20">
        <v>60580</v>
      </c>
      <c r="D5" s="20">
        <v>10143</v>
      </c>
      <c r="E5" s="20">
        <v>73077</v>
      </c>
      <c r="F5" s="20">
        <v>50304</v>
      </c>
      <c r="G5" s="21">
        <f t="shared" si="0"/>
        <v>0.16743149554308354</v>
      </c>
      <c r="H5" s="22">
        <f t="shared" si="1"/>
        <v>0.82898860106463046</v>
      </c>
      <c r="I5" s="22">
        <f t="shared" si="2"/>
        <v>1.4527075381679388</v>
      </c>
      <c r="J5" s="22">
        <f t="shared" si="3"/>
        <v>0.20163406488549621</v>
      </c>
      <c r="K5" s="25">
        <f t="shared" si="10"/>
        <v>0.15509285741524617</v>
      </c>
      <c r="L5" s="25">
        <f t="shared" si="11"/>
        <v>0.14068825910931174</v>
      </c>
      <c r="M5" s="26">
        <f t="shared" si="12"/>
        <v>2.0390307114557998E-2</v>
      </c>
      <c r="N5" s="23" t="str">
        <f t="shared" si="4"/>
        <v>High</v>
      </c>
      <c r="O5" s="23" t="str">
        <f t="shared" si="5"/>
        <v>Low</v>
      </c>
      <c r="P5" s="23" t="str">
        <f t="shared" si="6"/>
        <v>Low</v>
      </c>
      <c r="Q5" s="23" t="str">
        <f t="shared" si="7"/>
        <v>High</v>
      </c>
      <c r="R5" s="24" t="str">
        <f t="shared" si="8"/>
        <v>High ROE driven by strong profitability</v>
      </c>
      <c r="S5" s="24" t="str">
        <f t="shared" si="9"/>
        <v>Premium pricing strategy with strong margins but lower asset utilization</v>
      </c>
    </row>
    <row r="6" spans="1:19" ht="15.6" thickTop="1" thickBot="1" x14ac:dyDescent="0.35">
      <c r="A6" s="13" t="s">
        <v>6</v>
      </c>
      <c r="B6" s="13" t="s">
        <v>28</v>
      </c>
      <c r="C6" s="20">
        <v>61896</v>
      </c>
      <c r="D6" s="20">
        <v>10282</v>
      </c>
      <c r="E6" s="20">
        <v>78489</v>
      </c>
      <c r="F6" s="20">
        <v>51218</v>
      </c>
      <c r="G6" s="21">
        <f t="shared" si="0"/>
        <v>0.16611735814915343</v>
      </c>
      <c r="H6" s="22">
        <f t="shared" si="1"/>
        <v>0.78859458013224781</v>
      </c>
      <c r="I6" s="22">
        <f t="shared" si="2"/>
        <v>1.5324495294622984</v>
      </c>
      <c r="J6" s="22">
        <f t="shared" si="3"/>
        <v>0.20074973642078958</v>
      </c>
      <c r="K6" s="25">
        <f t="shared" si="10"/>
        <v>2.1723341036645756E-2</v>
      </c>
      <c r="L6" s="25">
        <f t="shared" si="11"/>
        <v>1.3704032337572711E-2</v>
      </c>
      <c r="M6" s="26">
        <f t="shared" si="12"/>
        <v>-8.8432846470662407E-4</v>
      </c>
      <c r="N6" s="23" t="str">
        <f t="shared" si="4"/>
        <v>High</v>
      </c>
      <c r="O6" s="23" t="str">
        <f t="shared" si="5"/>
        <v>Low</v>
      </c>
      <c r="P6" s="23" t="str">
        <f t="shared" si="6"/>
        <v>Moderate</v>
      </c>
      <c r="Q6" s="23" t="str">
        <f t="shared" si="7"/>
        <v>High</v>
      </c>
      <c r="R6" s="24" t="str">
        <f t="shared" si="8"/>
        <v>High ROE driven by strong profitability</v>
      </c>
      <c r="S6" s="24" t="str">
        <f t="shared" si="9"/>
        <v>Premium pricing strategy with strong margins but lower asset utilization</v>
      </c>
    </row>
    <row r="7" spans="1:19" ht="15.6" thickTop="1" thickBot="1" x14ac:dyDescent="0.35">
      <c r="A7" s="13" t="s">
        <v>6</v>
      </c>
      <c r="B7" s="13" t="s">
        <v>29</v>
      </c>
      <c r="C7" s="20">
        <v>63121</v>
      </c>
      <c r="D7" s="20">
        <v>10671</v>
      </c>
      <c r="E7" s="20">
        <v>79863</v>
      </c>
      <c r="F7" s="20">
        <v>49402</v>
      </c>
      <c r="G7" s="21">
        <f t="shared" si="0"/>
        <v>0.16905625703014845</v>
      </c>
      <c r="H7" s="22">
        <f t="shared" si="1"/>
        <v>0.79036600177804495</v>
      </c>
      <c r="I7" s="22">
        <f t="shared" si="2"/>
        <v>1.6165944698595198</v>
      </c>
      <c r="J7" s="22">
        <f t="shared" si="3"/>
        <v>0.21600340067203758</v>
      </c>
      <c r="K7" s="25">
        <f t="shared" si="10"/>
        <v>1.9791262763344964E-2</v>
      </c>
      <c r="L7" s="25">
        <f t="shared" si="11"/>
        <v>3.7833106399533162E-2</v>
      </c>
      <c r="M7" s="26">
        <f t="shared" si="12"/>
        <v>1.5253664251247995E-2</v>
      </c>
      <c r="N7" s="23" t="str">
        <f t="shared" si="4"/>
        <v>High</v>
      </c>
      <c r="O7" s="23" t="str">
        <f t="shared" si="5"/>
        <v>Low</v>
      </c>
      <c r="P7" s="23" t="str">
        <f t="shared" si="6"/>
        <v>Moderate</v>
      </c>
      <c r="Q7" s="23" t="str">
        <f t="shared" si="7"/>
        <v>High</v>
      </c>
      <c r="R7" s="24" t="str">
        <f t="shared" si="8"/>
        <v>High ROE driven by strong profitability</v>
      </c>
      <c r="S7" s="24" t="str">
        <f t="shared" si="9"/>
        <v>Premium pricing strategy with strong margins but lower asset utilization</v>
      </c>
    </row>
    <row r="8" spans="1:19" ht="15.6" thickTop="1" thickBot="1" x14ac:dyDescent="0.35">
      <c r="A8" s="14" t="s">
        <v>7</v>
      </c>
      <c r="B8" s="14" t="s">
        <v>24</v>
      </c>
      <c r="C8" s="27">
        <v>49388</v>
      </c>
      <c r="D8" s="27">
        <v>15593</v>
      </c>
      <c r="E8" s="27">
        <v>77311</v>
      </c>
      <c r="F8" s="27">
        <v>65273</v>
      </c>
      <c r="G8" s="28">
        <f t="shared" si="0"/>
        <v>0.31572446748197941</v>
      </c>
      <c r="H8" s="29">
        <f t="shared" si="1"/>
        <v>0.63882241854328625</v>
      </c>
      <c r="I8" s="29">
        <f t="shared" si="2"/>
        <v>1.18442541326429</v>
      </c>
      <c r="J8" s="29">
        <f t="shared" si="3"/>
        <v>0.23888897400150139</v>
      </c>
      <c r="K8" s="30"/>
      <c r="L8" s="30"/>
      <c r="M8" s="31"/>
      <c r="N8" s="32" t="str">
        <f t="shared" si="4"/>
        <v>High</v>
      </c>
      <c r="O8" s="32" t="str">
        <f t="shared" si="5"/>
        <v>Low</v>
      </c>
      <c r="P8" s="32" t="str">
        <f t="shared" si="6"/>
        <v>Low</v>
      </c>
      <c r="Q8" s="32" t="str">
        <f t="shared" si="7"/>
        <v>High</v>
      </c>
      <c r="R8" s="33" t="str">
        <f t="shared" si="8"/>
        <v>High ROE driven by strong profitability</v>
      </c>
      <c r="S8" s="33" t="str">
        <f t="shared" si="9"/>
        <v>Premium pricing strategy with strong margins but lower asset utilization</v>
      </c>
    </row>
    <row r="9" spans="1:19" ht="15.6" thickTop="1" thickBot="1" x14ac:dyDescent="0.35">
      <c r="A9" s="14" t="s">
        <v>7</v>
      </c>
      <c r="B9" s="14" t="s">
        <v>25</v>
      </c>
      <c r="C9" s="27">
        <v>49257</v>
      </c>
      <c r="D9" s="27">
        <v>13383</v>
      </c>
      <c r="E9" s="27">
        <v>73761</v>
      </c>
      <c r="F9" s="27">
        <v>60347</v>
      </c>
      <c r="G9" s="28">
        <f t="shared" si="0"/>
        <v>0.27169742371642608</v>
      </c>
      <c r="H9" s="29">
        <f t="shared" si="1"/>
        <v>0.66779192256070286</v>
      </c>
      <c r="I9" s="29">
        <f t="shared" si="2"/>
        <v>1.2222811407360763</v>
      </c>
      <c r="J9" s="29">
        <f t="shared" si="3"/>
        <v>0.22176744494341058</v>
      </c>
      <c r="K9" s="30">
        <f t="shared" si="10"/>
        <v>-2.6524661861180854E-3</v>
      </c>
      <c r="L9" s="30">
        <f t="shared" si="11"/>
        <v>-0.14173026357981144</v>
      </c>
      <c r="M9" s="31">
        <f t="shared" si="12"/>
        <v>-1.7121529058090806E-2</v>
      </c>
      <c r="N9" s="32" t="str">
        <f t="shared" si="4"/>
        <v>High</v>
      </c>
      <c r="O9" s="32" t="str">
        <f t="shared" si="5"/>
        <v>Low</v>
      </c>
      <c r="P9" s="32" t="str">
        <f t="shared" si="6"/>
        <v>Low</v>
      </c>
      <c r="Q9" s="32" t="str">
        <f t="shared" si="7"/>
        <v>High</v>
      </c>
      <c r="R9" s="33" t="str">
        <f t="shared" si="8"/>
        <v>High ROE driven by strong profitability</v>
      </c>
      <c r="S9" s="33" t="str">
        <f t="shared" si="9"/>
        <v>Premium pricing strategy with strong margins but lower asset utilization</v>
      </c>
    </row>
    <row r="10" spans="1:19" ht="15.6" thickTop="1" thickBot="1" x14ac:dyDescent="0.35">
      <c r="A10" s="14" t="s">
        <v>7</v>
      </c>
      <c r="B10" s="14" t="s">
        <v>26</v>
      </c>
      <c r="C10" s="27">
        <v>60645</v>
      </c>
      <c r="D10" s="27">
        <v>15503</v>
      </c>
      <c r="E10" s="27">
        <v>77196</v>
      </c>
      <c r="F10" s="27">
        <v>62455</v>
      </c>
      <c r="G10" s="28">
        <f t="shared" si="0"/>
        <v>0.25563525434908074</v>
      </c>
      <c r="H10" s="29">
        <f t="shared" si="1"/>
        <v>0.78559769936266133</v>
      </c>
      <c r="I10" s="29">
        <f t="shared" si="2"/>
        <v>1.2360259386758465</v>
      </c>
      <c r="J10" s="29">
        <f t="shared" si="3"/>
        <v>0.24822672324073336</v>
      </c>
      <c r="K10" s="30">
        <f t="shared" si="10"/>
        <v>0.23119556611243072</v>
      </c>
      <c r="L10" s="30">
        <f t="shared" si="11"/>
        <v>0.15840992303668833</v>
      </c>
      <c r="M10" s="31">
        <f t="shared" si="12"/>
        <v>2.645927829732278E-2</v>
      </c>
      <c r="N10" s="32" t="str">
        <f t="shared" si="4"/>
        <v>High</v>
      </c>
      <c r="O10" s="32" t="str">
        <f t="shared" si="5"/>
        <v>Low</v>
      </c>
      <c r="P10" s="32" t="str">
        <f t="shared" si="6"/>
        <v>Low</v>
      </c>
      <c r="Q10" s="32" t="str">
        <f t="shared" si="7"/>
        <v>High</v>
      </c>
      <c r="R10" s="33" t="str">
        <f t="shared" si="8"/>
        <v>High ROE driven by strong profitability</v>
      </c>
      <c r="S10" s="33" t="str">
        <f t="shared" si="9"/>
        <v>Premium pricing strategy with strong margins but lower asset utilization</v>
      </c>
    </row>
    <row r="11" spans="1:19" ht="15.6" thickTop="1" thickBot="1" x14ac:dyDescent="0.35">
      <c r="A11" s="14" t="s">
        <v>7</v>
      </c>
      <c r="B11" s="14" t="s">
        <v>27</v>
      </c>
      <c r="C11" s="27">
        <v>70919</v>
      </c>
      <c r="D11" s="27">
        <v>19477</v>
      </c>
      <c r="E11" s="27">
        <v>85831</v>
      </c>
      <c r="F11" s="27">
        <v>69155</v>
      </c>
      <c r="G11" s="28">
        <f t="shared" si="0"/>
        <v>0.27463726222873985</v>
      </c>
      <c r="H11" s="29">
        <f t="shared" si="1"/>
        <v>0.82626323822395176</v>
      </c>
      <c r="I11" s="29">
        <f t="shared" si="2"/>
        <v>1.2411394693080762</v>
      </c>
      <c r="J11" s="29">
        <f t="shared" si="3"/>
        <v>0.28164268671824166</v>
      </c>
      <c r="K11" s="30">
        <f t="shared" si="10"/>
        <v>0.16941215269189547</v>
      </c>
      <c r="L11" s="30">
        <f t="shared" si="11"/>
        <v>0.2563374830677933</v>
      </c>
      <c r="M11" s="31">
        <f t="shared" si="12"/>
        <v>3.3415963477508304E-2</v>
      </c>
      <c r="N11" s="32" t="str">
        <f t="shared" si="4"/>
        <v>High</v>
      </c>
      <c r="O11" s="32" t="str">
        <f t="shared" si="5"/>
        <v>Low</v>
      </c>
      <c r="P11" s="32" t="str">
        <f t="shared" si="6"/>
        <v>Low</v>
      </c>
      <c r="Q11" s="32" t="str">
        <f t="shared" si="7"/>
        <v>High</v>
      </c>
      <c r="R11" s="33" t="str">
        <f t="shared" si="8"/>
        <v>High ROE driven by strong profitability</v>
      </c>
      <c r="S11" s="33" t="str">
        <f t="shared" si="9"/>
        <v>Premium pricing strategy with strong margins but lower asset utilization</v>
      </c>
    </row>
    <row r="12" spans="1:19" ht="15.6" thickTop="1" thickBot="1" x14ac:dyDescent="0.35">
      <c r="A12" s="14" t="s">
        <v>7</v>
      </c>
      <c r="B12" s="14" t="s">
        <v>28</v>
      </c>
      <c r="C12" s="27">
        <v>67932</v>
      </c>
      <c r="D12" s="27">
        <v>20751</v>
      </c>
      <c r="E12" s="27">
        <v>91754</v>
      </c>
      <c r="F12" s="27">
        <v>74507</v>
      </c>
      <c r="G12" s="28">
        <f t="shared" si="0"/>
        <v>0.30546723193782016</v>
      </c>
      <c r="H12" s="29">
        <f t="shared" si="1"/>
        <v>0.74037099200034873</v>
      </c>
      <c r="I12" s="29">
        <f t="shared" si="2"/>
        <v>1.2314816057551639</v>
      </c>
      <c r="J12" s="29">
        <f t="shared" si="3"/>
        <v>0.27851074395694358</v>
      </c>
      <c r="K12" s="30">
        <f t="shared" si="10"/>
        <v>-4.2118473187721203E-2</v>
      </c>
      <c r="L12" s="30">
        <f t="shared" si="11"/>
        <v>6.5410484160805055E-2</v>
      </c>
      <c r="M12" s="31">
        <f t="shared" si="12"/>
        <v>-3.1319427612980788E-3</v>
      </c>
      <c r="N12" s="32" t="str">
        <f t="shared" si="4"/>
        <v>High</v>
      </c>
      <c r="O12" s="32" t="str">
        <f t="shared" si="5"/>
        <v>Low</v>
      </c>
      <c r="P12" s="32" t="str">
        <f t="shared" si="6"/>
        <v>Low</v>
      </c>
      <c r="Q12" s="32" t="str">
        <f t="shared" si="7"/>
        <v>High</v>
      </c>
      <c r="R12" s="33" t="str">
        <f t="shared" si="8"/>
        <v>High ROE driven by strong profitability</v>
      </c>
      <c r="S12" s="33" t="str">
        <f t="shared" si="9"/>
        <v>Premium pricing strategy with strong margins but lower asset utilization</v>
      </c>
    </row>
    <row r="13" spans="1:19" ht="15.6" thickTop="1" thickBot="1" x14ac:dyDescent="0.35">
      <c r="A13" s="14" t="s">
        <v>7</v>
      </c>
      <c r="B13" s="14" t="s">
        <v>29</v>
      </c>
      <c r="C13" s="27">
        <v>75323</v>
      </c>
      <c r="D13" s="27">
        <v>35052</v>
      </c>
      <c r="E13" s="27">
        <v>88003</v>
      </c>
      <c r="F13" s="27">
        <v>70030</v>
      </c>
      <c r="G13" s="28">
        <f t="shared" si="0"/>
        <v>0.46535586739774037</v>
      </c>
      <c r="H13" s="29">
        <f t="shared" si="1"/>
        <v>0.85591400293171827</v>
      </c>
      <c r="I13" s="29">
        <f t="shared" si="2"/>
        <v>1.2566471512209054</v>
      </c>
      <c r="J13" s="29">
        <f t="shared" si="3"/>
        <v>0.50052834499500209</v>
      </c>
      <c r="K13" s="30">
        <f t="shared" si="10"/>
        <v>0.10879997644703528</v>
      </c>
      <c r="L13" s="30">
        <f t="shared" si="11"/>
        <v>0.68917160618765361</v>
      </c>
      <c r="M13" s="31">
        <f t="shared" si="12"/>
        <v>0.22201760103805851</v>
      </c>
      <c r="N13" s="32" t="str">
        <f t="shared" si="4"/>
        <v>High</v>
      </c>
      <c r="O13" s="32" t="str">
        <f t="shared" si="5"/>
        <v>Low</v>
      </c>
      <c r="P13" s="32" t="str">
        <f t="shared" si="6"/>
        <v>Low</v>
      </c>
      <c r="Q13" s="32" t="str">
        <f t="shared" si="7"/>
        <v>High</v>
      </c>
      <c r="R13" s="33" t="str">
        <f t="shared" si="8"/>
        <v>High ROE driven by strong profitability</v>
      </c>
      <c r="S13" s="33" t="str">
        <f t="shared" si="9"/>
        <v>Premium pricing strategy with strong margins but lower asset utilization</v>
      </c>
    </row>
    <row r="14" spans="1:19" ht="15.6" thickTop="1" thickBot="1" x14ac:dyDescent="0.35">
      <c r="A14" s="15" t="s">
        <v>8</v>
      </c>
      <c r="B14" s="15" t="s">
        <v>24</v>
      </c>
      <c r="C14" s="34">
        <v>12369</v>
      </c>
      <c r="D14" s="34">
        <v>1968</v>
      </c>
      <c r="E14" s="34">
        <v>7173</v>
      </c>
      <c r="F14" s="34">
        <v>1918</v>
      </c>
      <c r="G14" s="35">
        <f t="shared" si="0"/>
        <v>0.15910744603444094</v>
      </c>
      <c r="H14" s="36">
        <f t="shared" si="1"/>
        <v>1.7243831033040569</v>
      </c>
      <c r="I14" s="36">
        <f t="shared" si="2"/>
        <v>3.7398331595411887</v>
      </c>
      <c r="J14" s="36">
        <f t="shared" si="3"/>
        <v>1.0260688216892597</v>
      </c>
      <c r="K14" s="37"/>
      <c r="L14" s="37"/>
      <c r="M14" s="38"/>
      <c r="N14" s="39" t="str">
        <f t="shared" si="4"/>
        <v>High</v>
      </c>
      <c r="O14" s="39" t="str">
        <f t="shared" si="5"/>
        <v>High</v>
      </c>
      <c r="P14" s="39" t="str">
        <f t="shared" si="6"/>
        <v>High</v>
      </c>
      <c r="Q14" s="39" t="str">
        <f t="shared" si="7"/>
        <v>High</v>
      </c>
      <c r="R14" s="40" t="str">
        <f t="shared" si="8"/>
        <v>High ROE driven by strong profitability</v>
      </c>
      <c r="S14" s="40" t="str">
        <f t="shared" si="9"/>
        <v>Strong overall business performance with both high profitability and efficiency</v>
      </c>
    </row>
    <row r="15" spans="1:19" ht="15.6" thickTop="1" thickBot="1" x14ac:dyDescent="0.35">
      <c r="A15" s="15" t="s">
        <v>8</v>
      </c>
      <c r="B15" s="15" t="s">
        <v>25</v>
      </c>
      <c r="C15" s="34">
        <v>13350</v>
      </c>
      <c r="D15" s="34">
        <v>2082</v>
      </c>
      <c r="E15" s="34">
        <v>7900</v>
      </c>
      <c r="F15" s="34">
        <v>2019</v>
      </c>
      <c r="G15" s="35">
        <f t="shared" si="0"/>
        <v>0.15595505617977529</v>
      </c>
      <c r="H15" s="36">
        <f t="shared" si="1"/>
        <v>1.6898734177215189</v>
      </c>
      <c r="I15" s="36">
        <f t="shared" si="2"/>
        <v>3.9128281327389796</v>
      </c>
      <c r="J15" s="36">
        <f t="shared" si="3"/>
        <v>1.0312035661218424</v>
      </c>
      <c r="K15" s="37">
        <f t="shared" si="10"/>
        <v>7.931118117875334E-2</v>
      </c>
      <c r="L15" s="37">
        <f t="shared" si="11"/>
        <v>5.7926829268292686E-2</v>
      </c>
      <c r="M15" s="38">
        <f t="shared" si="12"/>
        <v>5.1347444325826608E-3</v>
      </c>
      <c r="N15" s="39" t="str">
        <f t="shared" si="4"/>
        <v>High</v>
      </c>
      <c r="O15" s="39" t="str">
        <f t="shared" si="5"/>
        <v>High</v>
      </c>
      <c r="P15" s="39" t="str">
        <f t="shared" si="6"/>
        <v>High</v>
      </c>
      <c r="Q15" s="39" t="str">
        <f t="shared" si="7"/>
        <v>High</v>
      </c>
      <c r="R15" s="40" t="str">
        <f t="shared" si="8"/>
        <v>High ROE driven by strong profitability</v>
      </c>
      <c r="S15" s="40" t="str">
        <f t="shared" si="9"/>
        <v>Strong overall business performance with both high profitability and efficiency</v>
      </c>
    </row>
    <row r="16" spans="1:19" ht="15.6" thickTop="1" thickBot="1" x14ac:dyDescent="0.35">
      <c r="A16" s="15" t="s">
        <v>8</v>
      </c>
      <c r="B16" s="15" t="s">
        <v>26</v>
      </c>
      <c r="C16" s="34">
        <v>14741</v>
      </c>
      <c r="D16" s="34">
        <v>2118</v>
      </c>
      <c r="E16" s="34">
        <v>8234</v>
      </c>
      <c r="F16" s="34">
        <v>1946</v>
      </c>
      <c r="G16" s="35">
        <f t="shared" si="0"/>
        <v>0.14368089003459739</v>
      </c>
      <c r="H16" s="36">
        <f t="shared" si="1"/>
        <v>1.790259897983969</v>
      </c>
      <c r="I16" s="36">
        <f t="shared" si="2"/>
        <v>4.2312435765673175</v>
      </c>
      <c r="J16" s="36">
        <f t="shared" si="3"/>
        <v>1.088386433710175</v>
      </c>
      <c r="K16" s="37">
        <f t="shared" si="10"/>
        <v>0.10419475655430711</v>
      </c>
      <c r="L16" s="37">
        <f t="shared" si="11"/>
        <v>1.7291066282420751E-2</v>
      </c>
      <c r="M16" s="38">
        <f t="shared" si="12"/>
        <v>5.7182867588332575E-2</v>
      </c>
      <c r="N16" s="39" t="str">
        <f t="shared" si="4"/>
        <v>Moderate</v>
      </c>
      <c r="O16" s="39" t="str">
        <f t="shared" si="5"/>
        <v>High</v>
      </c>
      <c r="P16" s="39" t="str">
        <f t="shared" si="6"/>
        <v>High</v>
      </c>
      <c r="Q16" s="39" t="str">
        <f t="shared" si="7"/>
        <v>High</v>
      </c>
      <c r="R16" s="40" t="str">
        <f t="shared" si="8"/>
        <v>High ROE driven by financial leverage</v>
      </c>
      <c r="S16" s="40" t="str">
        <f t="shared" si="9"/>
        <v>Performance significantly influenced by financial leverage, indicating higher risk-return profile</v>
      </c>
    </row>
    <row r="17" spans="1:19" ht="15.6" thickTop="1" thickBot="1" x14ac:dyDescent="0.35">
      <c r="A17" s="15" t="s">
        <v>8</v>
      </c>
      <c r="B17" s="15" t="s">
        <v>27</v>
      </c>
      <c r="C17" s="34">
        <v>16897</v>
      </c>
      <c r="D17" s="34">
        <v>2391</v>
      </c>
      <c r="E17" s="34">
        <v>8979</v>
      </c>
      <c r="F17" s="34">
        <v>2459</v>
      </c>
      <c r="G17" s="35">
        <f t="shared" si="0"/>
        <v>0.14150440906669823</v>
      </c>
      <c r="H17" s="36">
        <f t="shared" si="1"/>
        <v>1.8818353936964027</v>
      </c>
      <c r="I17" s="36">
        <f t="shared" si="2"/>
        <v>3.651484343228955</v>
      </c>
      <c r="J17" s="36">
        <f t="shared" si="3"/>
        <v>0.97234648230988208</v>
      </c>
      <c r="K17" s="37">
        <f t="shared" si="10"/>
        <v>0.14625873414286683</v>
      </c>
      <c r="L17" s="37">
        <f t="shared" si="11"/>
        <v>0.12889518413597734</v>
      </c>
      <c r="M17" s="38">
        <f t="shared" si="12"/>
        <v>-0.11603995140029288</v>
      </c>
      <c r="N17" s="39" t="str">
        <f t="shared" si="4"/>
        <v>Moderate</v>
      </c>
      <c r="O17" s="39" t="str">
        <f t="shared" si="5"/>
        <v>High</v>
      </c>
      <c r="P17" s="39" t="str">
        <f t="shared" si="6"/>
        <v>High</v>
      </c>
      <c r="Q17" s="39" t="str">
        <f t="shared" si="7"/>
        <v>High</v>
      </c>
      <c r="R17" s="40" t="str">
        <f t="shared" si="8"/>
        <v>High ROE driven by financial leverage</v>
      </c>
      <c r="S17" s="40" t="str">
        <f t="shared" si="9"/>
        <v>Performance significantly influenced by financial leverage, indicating higher risk-return profile</v>
      </c>
    </row>
    <row r="18" spans="1:19" ht="15.6" thickTop="1" thickBot="1" x14ac:dyDescent="0.35">
      <c r="A18" s="15" t="s">
        <v>8</v>
      </c>
      <c r="B18" s="15" t="s">
        <v>28</v>
      </c>
      <c r="C18" s="34">
        <v>19126</v>
      </c>
      <c r="D18" s="34">
        <v>2999</v>
      </c>
      <c r="E18" s="34">
        <v>8979</v>
      </c>
      <c r="F18" s="34">
        <v>2459</v>
      </c>
      <c r="G18" s="35">
        <f t="shared" si="0"/>
        <v>0.15680225870542716</v>
      </c>
      <c r="H18" s="36">
        <f t="shared" si="1"/>
        <v>2.1300813008130079</v>
      </c>
      <c r="I18" s="36">
        <f t="shared" si="2"/>
        <v>3.651484343228955</v>
      </c>
      <c r="J18" s="36">
        <f t="shared" si="3"/>
        <v>1.2196014640097599</v>
      </c>
      <c r="K18" s="37">
        <f t="shared" si="10"/>
        <v>0.13191690832692193</v>
      </c>
      <c r="L18" s="37">
        <f t="shared" si="11"/>
        <v>0.25428690924299457</v>
      </c>
      <c r="M18" s="38">
        <f t="shared" si="12"/>
        <v>0.24725498169987781</v>
      </c>
      <c r="N18" s="39" t="str">
        <f t="shared" si="4"/>
        <v>High</v>
      </c>
      <c r="O18" s="39" t="str">
        <f t="shared" si="5"/>
        <v>High</v>
      </c>
      <c r="P18" s="39" t="str">
        <f t="shared" si="6"/>
        <v>High</v>
      </c>
      <c r="Q18" s="39" t="str">
        <f t="shared" si="7"/>
        <v>High</v>
      </c>
      <c r="R18" s="40" t="str">
        <f t="shared" si="8"/>
        <v>High ROE driven by strong profitability</v>
      </c>
      <c r="S18" s="40" t="str">
        <f t="shared" si="9"/>
        <v>Strong overall business performance with both high profitability and efficiency</v>
      </c>
    </row>
    <row r="19" spans="1:19" ht="15.6" thickTop="1" thickBot="1" x14ac:dyDescent="0.35">
      <c r="A19" s="15" t="s">
        <v>8</v>
      </c>
      <c r="B19" s="15" t="s">
        <v>29</v>
      </c>
      <c r="C19" s="34">
        <v>24394</v>
      </c>
      <c r="D19" s="34">
        <v>3933</v>
      </c>
      <c r="E19" s="34">
        <v>10523</v>
      </c>
      <c r="F19" s="34">
        <v>3340</v>
      </c>
      <c r="G19" s="35">
        <f t="shared" si="0"/>
        <v>0.16122817086168731</v>
      </c>
      <c r="H19" s="36">
        <f t="shared" si="1"/>
        <v>2.3181602204694478</v>
      </c>
      <c r="I19" s="36">
        <f t="shared" si="2"/>
        <v>3.1505988023952094</v>
      </c>
      <c r="J19" s="36">
        <f t="shared" si="3"/>
        <v>1.1775449101796407</v>
      </c>
      <c r="K19" s="37">
        <f t="shared" si="10"/>
        <v>0.2754365784795566</v>
      </c>
      <c r="L19" s="37">
        <f t="shared" si="11"/>
        <v>0.31143714571523839</v>
      </c>
      <c r="M19" s="38">
        <f t="shared" si="12"/>
        <v>-4.2056553830119192E-2</v>
      </c>
      <c r="N19" s="39" t="str">
        <f t="shared" si="4"/>
        <v>High</v>
      </c>
      <c r="O19" s="39" t="str">
        <f t="shared" si="5"/>
        <v>High</v>
      </c>
      <c r="P19" s="39" t="str">
        <f t="shared" si="6"/>
        <v>High</v>
      </c>
      <c r="Q19" s="39" t="str">
        <f t="shared" si="7"/>
        <v>High</v>
      </c>
      <c r="R19" s="40" t="str">
        <f t="shared" si="8"/>
        <v>High ROE driven by strong profitability</v>
      </c>
      <c r="S19" s="40" t="str">
        <f t="shared" si="9"/>
        <v>Strong overall business performance with both high profitability and efficiency</v>
      </c>
    </row>
    <row r="20" spans="1:19" ht="15.6" thickTop="1" thickBot="1" x14ac:dyDescent="0.35">
      <c r="A20" s="77" t="s">
        <v>9</v>
      </c>
      <c r="B20" s="16" t="s">
        <v>24</v>
      </c>
      <c r="C20" s="41">
        <v>11055</v>
      </c>
      <c r="D20" s="41">
        <v>1155</v>
      </c>
      <c r="E20" s="41">
        <v>6238</v>
      </c>
      <c r="F20" s="41">
        <v>4253</v>
      </c>
      <c r="G20" s="42">
        <f t="shared" si="0"/>
        <v>0.1044776119402985</v>
      </c>
      <c r="H20" s="43">
        <f t="shared" si="1"/>
        <v>1.7722026290477717</v>
      </c>
      <c r="I20" s="43">
        <f t="shared" si="2"/>
        <v>1.4667293675052904</v>
      </c>
      <c r="J20" s="43">
        <f t="shared" si="3"/>
        <v>0.27157300728897249</v>
      </c>
      <c r="K20" s="44"/>
      <c r="L20" s="44"/>
      <c r="M20" s="45"/>
      <c r="N20" s="46" t="str">
        <f t="shared" si="4"/>
        <v>Moderate</v>
      </c>
      <c r="O20" s="46" t="str">
        <f t="shared" si="5"/>
        <v>High</v>
      </c>
      <c r="P20" s="46" t="str">
        <f t="shared" si="6"/>
        <v>Low</v>
      </c>
      <c r="Q20" s="46" t="str">
        <f t="shared" si="7"/>
        <v>High</v>
      </c>
      <c r="R20" s="47" t="str">
        <f t="shared" si="8"/>
        <v>High ROE driven by efficient asset utilization</v>
      </c>
      <c r="S20" s="47" t="str">
        <f t="shared" si="9"/>
        <v>Strong financial performance driven by balanced operational efficiency and profitability</v>
      </c>
    </row>
    <row r="21" spans="1:19" ht="15.6" thickTop="1" thickBot="1" x14ac:dyDescent="0.35">
      <c r="A21" s="16" t="s">
        <v>9</v>
      </c>
      <c r="B21" s="16" t="s">
        <v>25</v>
      </c>
      <c r="C21" s="41">
        <v>11600</v>
      </c>
      <c r="D21" s="41">
        <v>1394</v>
      </c>
      <c r="E21" s="41">
        <v>7830</v>
      </c>
      <c r="F21" s="41">
        <v>4403</v>
      </c>
      <c r="G21" s="42">
        <f t="shared" si="0"/>
        <v>0.12017241379310345</v>
      </c>
      <c r="H21" s="43">
        <f t="shared" si="1"/>
        <v>1.4814814814814814</v>
      </c>
      <c r="I21" s="43">
        <f t="shared" si="2"/>
        <v>1.7783329548035431</v>
      </c>
      <c r="J21" s="43">
        <f t="shared" si="3"/>
        <v>0.31660231660231664</v>
      </c>
      <c r="K21" s="44">
        <f t="shared" si="10"/>
        <v>4.9298959746720938E-2</v>
      </c>
      <c r="L21" s="44">
        <f t="shared" si="11"/>
        <v>0.20692640692640693</v>
      </c>
      <c r="M21" s="45">
        <f t="shared" si="12"/>
        <v>4.5029309313344146E-2</v>
      </c>
      <c r="N21" s="46" t="str">
        <f t="shared" si="4"/>
        <v>Moderate</v>
      </c>
      <c r="O21" s="46" t="str">
        <f t="shared" si="5"/>
        <v>Moderate</v>
      </c>
      <c r="P21" s="46" t="str">
        <f t="shared" si="6"/>
        <v>Moderate</v>
      </c>
      <c r="Q21" s="46" t="str">
        <f t="shared" si="7"/>
        <v>High</v>
      </c>
      <c r="R21" s="47" t="str">
        <f t="shared" si="8"/>
        <v>High ROE with balanced drivers</v>
      </c>
      <c r="S21" s="47" t="str">
        <f t="shared" si="9"/>
        <v>Strong financial performance driven by balanced operational efficiency and profitability</v>
      </c>
    </row>
    <row r="22" spans="1:19" ht="15.6" thickTop="1" thickBot="1" x14ac:dyDescent="0.35">
      <c r="A22" s="16" t="s">
        <v>9</v>
      </c>
      <c r="B22" s="16" t="s">
        <v>26</v>
      </c>
      <c r="C22" s="41">
        <v>13136</v>
      </c>
      <c r="D22" s="41">
        <v>1851</v>
      </c>
      <c r="E22" s="41">
        <v>8000</v>
      </c>
      <c r="F22" s="41">
        <v>3548</v>
      </c>
      <c r="G22" s="42">
        <f t="shared" si="0"/>
        <v>0.14091047503045068</v>
      </c>
      <c r="H22" s="43">
        <f t="shared" si="1"/>
        <v>1.6419999999999999</v>
      </c>
      <c r="I22" s="43">
        <f t="shared" si="2"/>
        <v>2.254791431792559</v>
      </c>
      <c r="J22" s="43">
        <f t="shared" si="3"/>
        <v>0.5217023675310033</v>
      </c>
      <c r="K22" s="44">
        <f t="shared" si="10"/>
        <v>0.13241379310344828</v>
      </c>
      <c r="L22" s="44">
        <f t="shared" si="11"/>
        <v>0.32783357245337158</v>
      </c>
      <c r="M22" s="45">
        <f t="shared" si="12"/>
        <v>0.20510005092868666</v>
      </c>
      <c r="N22" s="46" t="str">
        <f t="shared" si="4"/>
        <v>Moderate</v>
      </c>
      <c r="O22" s="46" t="str">
        <f t="shared" si="5"/>
        <v>High</v>
      </c>
      <c r="P22" s="46" t="str">
        <f t="shared" si="6"/>
        <v>High</v>
      </c>
      <c r="Q22" s="46" t="str">
        <f t="shared" si="7"/>
        <v>High</v>
      </c>
      <c r="R22" s="47" t="str">
        <f t="shared" si="8"/>
        <v>High ROE driven by financial leverage</v>
      </c>
      <c r="S22" s="47" t="str">
        <f t="shared" si="9"/>
        <v>Performance significantly influenced by financial leverage, indicating higher risk-return profile</v>
      </c>
    </row>
    <row r="23" spans="1:19" ht="15.6" thickTop="1" thickBot="1" x14ac:dyDescent="0.35">
      <c r="A23" s="16" t="s">
        <v>9</v>
      </c>
      <c r="B23" s="16" t="s">
        <v>27</v>
      </c>
      <c r="C23" s="41">
        <v>14136</v>
      </c>
      <c r="D23" s="41">
        <v>1516</v>
      </c>
      <c r="E23" s="41">
        <v>7527</v>
      </c>
      <c r="F23" s="41">
        <v>2558</v>
      </c>
      <c r="G23" s="42">
        <f t="shared" si="0"/>
        <v>0.10724391624221845</v>
      </c>
      <c r="H23" s="43">
        <f t="shared" si="1"/>
        <v>1.8780390593862097</v>
      </c>
      <c r="I23" s="43">
        <f t="shared" si="2"/>
        <v>2.9425332290852229</v>
      </c>
      <c r="J23" s="43">
        <f t="shared" si="3"/>
        <v>0.59265050820953868</v>
      </c>
      <c r="K23" s="44">
        <f t="shared" si="10"/>
        <v>7.6126674786845316E-2</v>
      </c>
      <c r="L23" s="44">
        <f t="shared" si="11"/>
        <v>-0.18098325229605619</v>
      </c>
      <c r="M23" s="45">
        <f t="shared" si="12"/>
        <v>7.0948140678535387E-2</v>
      </c>
      <c r="N23" s="46" t="str">
        <f t="shared" si="4"/>
        <v>Moderate</v>
      </c>
      <c r="O23" s="46" t="str">
        <f t="shared" si="5"/>
        <v>High</v>
      </c>
      <c r="P23" s="46" t="str">
        <f t="shared" si="6"/>
        <v>High</v>
      </c>
      <c r="Q23" s="46" t="str">
        <f t="shared" si="7"/>
        <v>High</v>
      </c>
      <c r="R23" s="47" t="str">
        <f t="shared" si="8"/>
        <v>High ROE driven by financial leverage</v>
      </c>
      <c r="S23" s="47" t="str">
        <f t="shared" si="9"/>
        <v>Performance significantly influenced by financial leverage, indicating higher risk-return profile</v>
      </c>
    </row>
    <row r="24" spans="1:19" ht="15.6" thickTop="1" thickBot="1" x14ac:dyDescent="0.35">
      <c r="A24" s="16" t="s">
        <v>9</v>
      </c>
      <c r="B24" s="16" t="s">
        <v>28</v>
      </c>
      <c r="C24" s="41">
        <v>16301</v>
      </c>
      <c r="D24" s="41">
        <v>2316</v>
      </c>
      <c r="E24" s="41">
        <v>9351</v>
      </c>
      <c r="F24" s="41">
        <v>3534</v>
      </c>
      <c r="G24" s="42">
        <f t="shared" si="0"/>
        <v>0.14207717317955953</v>
      </c>
      <c r="H24" s="43">
        <f t="shared" si="1"/>
        <v>1.7432360175382311</v>
      </c>
      <c r="I24" s="43">
        <f t="shared" si="2"/>
        <v>2.6460101867572154</v>
      </c>
      <c r="J24" s="43">
        <f t="shared" si="3"/>
        <v>0.65534804753820031</v>
      </c>
      <c r="K24" s="44">
        <f t="shared" si="10"/>
        <v>0.15315506508205998</v>
      </c>
      <c r="L24" s="44">
        <f t="shared" si="11"/>
        <v>0.52770448548812665</v>
      </c>
      <c r="M24" s="45">
        <f t="shared" si="12"/>
        <v>6.2697539328661622E-2</v>
      </c>
      <c r="N24" s="46" t="str">
        <f t="shared" si="4"/>
        <v>Moderate</v>
      </c>
      <c r="O24" s="46" t="str">
        <f t="shared" si="5"/>
        <v>High</v>
      </c>
      <c r="P24" s="46" t="str">
        <f t="shared" si="6"/>
        <v>High</v>
      </c>
      <c r="Q24" s="46" t="str">
        <f t="shared" si="7"/>
        <v>High</v>
      </c>
      <c r="R24" s="47" t="str">
        <f t="shared" si="8"/>
        <v>High ROE driven by financial leverage</v>
      </c>
      <c r="S24" s="47" t="str">
        <f t="shared" si="9"/>
        <v>Performance significantly influenced by financial leverage, indicating higher risk-return profile</v>
      </c>
    </row>
    <row r="25" spans="1:19" ht="15.6" thickTop="1" thickBot="1" x14ac:dyDescent="0.35">
      <c r="A25" s="16" t="s">
        <v>9</v>
      </c>
      <c r="B25" s="16" t="s">
        <v>29</v>
      </c>
      <c r="C25" s="41">
        <v>16769</v>
      </c>
      <c r="D25" s="41">
        <v>2134</v>
      </c>
      <c r="E25" s="41">
        <v>9072</v>
      </c>
      <c r="F25" s="41">
        <v>3941</v>
      </c>
      <c r="G25" s="42">
        <f t="shared" si="0"/>
        <v>0.12725863199952292</v>
      </c>
      <c r="H25" s="43">
        <f t="shared" si="1"/>
        <v>1.8484347442680775</v>
      </c>
      <c r="I25" s="43">
        <f t="shared" si="2"/>
        <v>2.3019538188277089</v>
      </c>
      <c r="J25" s="43">
        <f t="shared" si="3"/>
        <v>0.54148693225069777</v>
      </c>
      <c r="K25" s="44">
        <f t="shared" si="10"/>
        <v>2.8709895098460218E-2</v>
      </c>
      <c r="L25" s="44">
        <f t="shared" si="11"/>
        <v>-7.8583765112262519E-2</v>
      </c>
      <c r="M25" s="45">
        <f t="shared" si="12"/>
        <v>-0.11386111528750253</v>
      </c>
      <c r="N25" s="46" t="str">
        <f t="shared" si="4"/>
        <v>Moderate</v>
      </c>
      <c r="O25" s="46" t="str">
        <f t="shared" si="5"/>
        <v>High</v>
      </c>
      <c r="P25" s="46" t="str">
        <f t="shared" si="6"/>
        <v>High</v>
      </c>
      <c r="Q25" s="46" t="str">
        <f t="shared" si="7"/>
        <v>High</v>
      </c>
      <c r="R25" s="47" t="str">
        <f t="shared" si="8"/>
        <v>High ROE driven by financial leverage</v>
      </c>
      <c r="S25" s="47" t="str">
        <f t="shared" si="9"/>
        <v>Performance significantly influenced by financial leverage, indicating higher risk-return profile</v>
      </c>
    </row>
    <row r="26" spans="1:19" ht="15.6" thickTop="1" thickBot="1" x14ac:dyDescent="0.35">
      <c r="A26" s="17" t="s">
        <v>10</v>
      </c>
      <c r="B26" s="17" t="s">
        <v>24</v>
      </c>
      <c r="C26" s="48">
        <v>8515</v>
      </c>
      <c r="D26" s="48">
        <v>1446</v>
      </c>
      <c r="E26" s="48">
        <v>8437</v>
      </c>
      <c r="F26" s="48">
        <v>5632</v>
      </c>
      <c r="G26" s="49">
        <f t="shared" si="0"/>
        <v>0.16981796829125073</v>
      </c>
      <c r="H26" s="50">
        <f t="shared" si="1"/>
        <v>1.0092449922958397</v>
      </c>
      <c r="I26" s="50">
        <f t="shared" si="2"/>
        <v>1.498046875</v>
      </c>
      <c r="J26" s="50">
        <f t="shared" si="3"/>
        <v>0.25674715909090906</v>
      </c>
      <c r="K26" s="51"/>
      <c r="L26" s="51"/>
      <c r="M26" s="52"/>
      <c r="N26" s="53" t="str">
        <f t="shared" si="4"/>
        <v>High</v>
      </c>
      <c r="O26" s="53" t="str">
        <f t="shared" si="5"/>
        <v>Moderate</v>
      </c>
      <c r="P26" s="53" t="str">
        <f t="shared" si="6"/>
        <v>Low</v>
      </c>
      <c r="Q26" s="53" t="str">
        <f t="shared" si="7"/>
        <v>High</v>
      </c>
      <c r="R26" s="54" t="str">
        <f t="shared" si="8"/>
        <v>High ROE driven by strong profitability</v>
      </c>
      <c r="S26" s="54" t="str">
        <f t="shared" si="9"/>
        <v>Strong financial performance driven by balanced operational efficiency and profitability</v>
      </c>
    </row>
    <row r="27" spans="1:19" ht="15.6" thickTop="1" thickBot="1" x14ac:dyDescent="0.35">
      <c r="A27" s="17" t="s">
        <v>10</v>
      </c>
      <c r="B27" s="17" t="s">
        <v>25</v>
      </c>
      <c r="C27" s="48">
        <v>8685</v>
      </c>
      <c r="D27" s="48">
        <v>1448</v>
      </c>
      <c r="E27" s="48">
        <v>9337</v>
      </c>
      <c r="F27" s="48">
        <v>6606</v>
      </c>
      <c r="G27" s="49">
        <f t="shared" si="0"/>
        <v>0.16672423719055843</v>
      </c>
      <c r="H27" s="50">
        <f t="shared" si="1"/>
        <v>0.93017029024311881</v>
      </c>
      <c r="I27" s="50">
        <f t="shared" si="2"/>
        <v>1.4134120496518316</v>
      </c>
      <c r="J27" s="50">
        <f t="shared" si="3"/>
        <v>0.21919467151074778</v>
      </c>
      <c r="K27" s="51">
        <f t="shared" si="10"/>
        <v>1.996476805637111E-2</v>
      </c>
      <c r="L27" s="51">
        <f t="shared" si="11"/>
        <v>1.3831258644536654E-3</v>
      </c>
      <c r="M27" s="52">
        <f t="shared" si="12"/>
        <v>-3.7552487580161276E-2</v>
      </c>
      <c r="N27" s="53" t="str">
        <f t="shared" si="4"/>
        <v>High</v>
      </c>
      <c r="O27" s="53" t="str">
        <f t="shared" si="5"/>
        <v>Low</v>
      </c>
      <c r="P27" s="53" t="str">
        <f t="shared" si="6"/>
        <v>Low</v>
      </c>
      <c r="Q27" s="53" t="str">
        <f t="shared" si="7"/>
        <v>High</v>
      </c>
      <c r="R27" s="54" t="str">
        <f t="shared" si="8"/>
        <v>High ROE driven by strong profitability</v>
      </c>
      <c r="S27" s="54" t="str">
        <f t="shared" si="9"/>
        <v>Premium pricing strategy with strong margins but lower asset utilization</v>
      </c>
    </row>
    <row r="28" spans="1:19" ht="15.6" thickTop="1" thickBot="1" x14ac:dyDescent="0.35">
      <c r="A28" s="17" t="s">
        <v>10</v>
      </c>
      <c r="B28" s="17" t="s">
        <v>26</v>
      </c>
      <c r="C28" s="48">
        <v>9562</v>
      </c>
      <c r="D28" s="48">
        <v>1695</v>
      </c>
      <c r="E28" s="48">
        <v>10833</v>
      </c>
      <c r="F28" s="48">
        <v>7664</v>
      </c>
      <c r="G28" s="49">
        <f t="shared" si="0"/>
        <v>0.17726417067559089</v>
      </c>
      <c r="H28" s="50">
        <f t="shared" si="1"/>
        <v>0.88267331302501617</v>
      </c>
      <c r="I28" s="50">
        <f t="shared" si="2"/>
        <v>1.413491649269311</v>
      </c>
      <c r="J28" s="50">
        <f t="shared" si="3"/>
        <v>0.22116388308977036</v>
      </c>
      <c r="K28" s="51">
        <f t="shared" si="10"/>
        <v>0.10097869890616004</v>
      </c>
      <c r="L28" s="51">
        <f t="shared" si="11"/>
        <v>0.17058011049723756</v>
      </c>
      <c r="M28" s="52">
        <f t="shared" si="12"/>
        <v>1.9692115790225784E-3</v>
      </c>
      <c r="N28" s="53" t="str">
        <f t="shared" si="4"/>
        <v>High</v>
      </c>
      <c r="O28" s="53" t="str">
        <f t="shared" si="5"/>
        <v>Low</v>
      </c>
      <c r="P28" s="53" t="str">
        <f t="shared" si="6"/>
        <v>Low</v>
      </c>
      <c r="Q28" s="53" t="str">
        <f t="shared" si="7"/>
        <v>High</v>
      </c>
      <c r="R28" s="54" t="str">
        <f t="shared" si="8"/>
        <v>High ROE driven by strong profitability</v>
      </c>
      <c r="S28" s="54" t="str">
        <f t="shared" si="9"/>
        <v>Premium pricing strategy with strong margins but lower asset utilization</v>
      </c>
    </row>
    <row r="29" spans="1:19" ht="15.6" thickTop="1" thickBot="1" x14ac:dyDescent="0.35">
      <c r="A29" s="17" t="s">
        <v>10</v>
      </c>
      <c r="B29" s="17" t="s">
        <v>27</v>
      </c>
      <c r="C29" s="48">
        <v>10889</v>
      </c>
      <c r="D29" s="48">
        <v>1742</v>
      </c>
      <c r="E29" s="48">
        <v>12284</v>
      </c>
      <c r="F29" s="48">
        <v>8382</v>
      </c>
      <c r="G29" s="49">
        <f t="shared" si="0"/>
        <v>0.15997795940857745</v>
      </c>
      <c r="H29" s="50">
        <f t="shared" si="1"/>
        <v>0.88643764246173884</v>
      </c>
      <c r="I29" s="50">
        <f t="shared" si="2"/>
        <v>1.4655213552851347</v>
      </c>
      <c r="J29" s="50">
        <f t="shared" si="3"/>
        <v>0.20782629444046763</v>
      </c>
      <c r="K29" s="51">
        <f t="shared" si="10"/>
        <v>0.13877849822212926</v>
      </c>
      <c r="L29" s="51">
        <f t="shared" si="11"/>
        <v>2.7728613569321534E-2</v>
      </c>
      <c r="M29" s="52">
        <f t="shared" si="12"/>
        <v>-1.3337588649302734E-2</v>
      </c>
      <c r="N29" s="53" t="str">
        <f t="shared" si="4"/>
        <v>High</v>
      </c>
      <c r="O29" s="53" t="str">
        <f t="shared" si="5"/>
        <v>Low</v>
      </c>
      <c r="P29" s="53" t="str">
        <f t="shared" si="6"/>
        <v>Low</v>
      </c>
      <c r="Q29" s="53" t="str">
        <f t="shared" si="7"/>
        <v>High</v>
      </c>
      <c r="R29" s="54" t="str">
        <f t="shared" si="8"/>
        <v>High ROE driven by strong profitability</v>
      </c>
      <c r="S29" s="54" t="str">
        <f t="shared" si="9"/>
        <v>Premium pricing strategy with strong margins but lower asset utilization</v>
      </c>
    </row>
    <row r="30" spans="1:19" ht="15.6" thickTop="1" thickBot="1" x14ac:dyDescent="0.35">
      <c r="A30" s="17" t="s">
        <v>10</v>
      </c>
      <c r="B30" s="17" t="s">
        <v>28</v>
      </c>
      <c r="C30" s="48">
        <v>11530</v>
      </c>
      <c r="D30" s="48">
        <v>1701</v>
      </c>
      <c r="E30" s="48">
        <v>13652</v>
      </c>
      <c r="F30" s="48">
        <v>8973</v>
      </c>
      <c r="G30" s="49">
        <f t="shared" si="0"/>
        <v>0.14752818733738074</v>
      </c>
      <c r="H30" s="50">
        <f t="shared" si="1"/>
        <v>0.8445648989159098</v>
      </c>
      <c r="I30" s="50">
        <f t="shared" si="2"/>
        <v>1.5214532486347934</v>
      </c>
      <c r="J30" s="50">
        <f t="shared" si="3"/>
        <v>0.18956870611835508</v>
      </c>
      <c r="K30" s="51">
        <f t="shared" si="10"/>
        <v>5.8866746257691248E-2</v>
      </c>
      <c r="L30" s="51">
        <f t="shared" si="11"/>
        <v>-2.3536165327210104E-2</v>
      </c>
      <c r="M30" s="52">
        <f t="shared" si="12"/>
        <v>-1.825758832211255E-2</v>
      </c>
      <c r="N30" s="53" t="str">
        <f t="shared" si="4"/>
        <v>Moderate</v>
      </c>
      <c r="O30" s="53" t="str">
        <f t="shared" si="5"/>
        <v>Low</v>
      </c>
      <c r="P30" s="53" t="str">
        <f t="shared" si="6"/>
        <v>Moderate</v>
      </c>
      <c r="Q30" s="53" t="str">
        <f t="shared" si="7"/>
        <v>Moderate</v>
      </c>
      <c r="R30" s="54" t="str">
        <f t="shared" si="8"/>
        <v>Moderate performance with balanced financial drivers</v>
      </c>
      <c r="S30" s="54" t="str">
        <f t="shared" si="9"/>
        <v>Stable performance with moderate financial and operational efficiency</v>
      </c>
    </row>
    <row r="31" spans="1:19" ht="15.6" thickTop="1" thickBot="1" x14ac:dyDescent="0.35">
      <c r="A31" s="17" t="s">
        <v>10</v>
      </c>
      <c r="B31" s="17" t="s">
        <v>29</v>
      </c>
      <c r="C31" s="48">
        <v>12404</v>
      </c>
      <c r="D31" s="48">
        <v>1811</v>
      </c>
      <c r="E31" s="48">
        <v>15116</v>
      </c>
      <c r="F31" s="48">
        <v>9866</v>
      </c>
      <c r="G31" s="49">
        <f t="shared" si="0"/>
        <v>0.14600128990648178</v>
      </c>
      <c r="H31" s="50">
        <f t="shared" si="1"/>
        <v>0.8205874569992061</v>
      </c>
      <c r="I31" s="50">
        <f t="shared" si="2"/>
        <v>1.5321305493614434</v>
      </c>
      <c r="J31" s="50">
        <f t="shared" si="3"/>
        <v>0.18355969997972837</v>
      </c>
      <c r="K31" s="51">
        <f t="shared" si="10"/>
        <v>7.5802254986990461E-2</v>
      </c>
      <c r="L31" s="51">
        <f t="shared" si="11"/>
        <v>6.4667842445620224E-2</v>
      </c>
      <c r="M31" s="52">
        <f t="shared" si="12"/>
        <v>-6.0090061386267046E-3</v>
      </c>
      <c r="N31" s="53" t="str">
        <f t="shared" si="4"/>
        <v>Moderate</v>
      </c>
      <c r="O31" s="53" t="str">
        <f t="shared" si="5"/>
        <v>Low</v>
      </c>
      <c r="P31" s="53" t="str">
        <f t="shared" si="6"/>
        <v>Moderate</v>
      </c>
      <c r="Q31" s="53" t="str">
        <f t="shared" si="7"/>
        <v>Moderate</v>
      </c>
      <c r="R31" s="54" t="str">
        <f t="shared" si="8"/>
        <v>Moderate performance with balanced financial drivers</v>
      </c>
      <c r="S31" s="54" t="str">
        <f t="shared" si="9"/>
        <v>Stable performance with moderate financial and operational efficiency</v>
      </c>
    </row>
    <row r="32" spans="1:19" ht="15" thickTop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6566-8BB0-4200-B096-66EEFC5CBF10}">
  <dimension ref="A1:AI31"/>
  <sheetViews>
    <sheetView tabSelected="1" workbookViewId="0">
      <selection activeCell="T18" sqref="T18"/>
    </sheetView>
  </sheetViews>
  <sheetFormatPr defaultRowHeight="14.4" x14ac:dyDescent="0.3"/>
  <cols>
    <col min="1" max="1" width="16.77734375" bestFit="1" customWidth="1"/>
    <col min="2" max="2" width="10.33203125" bestFit="1" customWidth="1"/>
    <col min="3" max="3" width="9" bestFit="1" customWidth="1"/>
    <col min="4" max="4" width="10.6640625" bestFit="1" customWidth="1"/>
    <col min="5" max="5" width="11" bestFit="1" customWidth="1"/>
    <col min="6" max="6" width="10.44140625" bestFit="1" customWidth="1"/>
    <col min="7" max="7" width="9.33203125" bestFit="1" customWidth="1"/>
    <col min="8" max="8" width="7" bestFit="1" customWidth="1"/>
    <col min="9" max="11" width="4.5546875" bestFit="1" customWidth="1"/>
    <col min="12" max="12" width="7.77734375" bestFit="1" customWidth="1"/>
    <col min="13" max="13" width="7.21875" bestFit="1" customWidth="1"/>
    <col min="14" max="14" width="7.6640625" bestFit="1" customWidth="1"/>
    <col min="15" max="15" width="8.6640625" bestFit="1" customWidth="1"/>
    <col min="16" max="16" width="5.33203125" bestFit="1" customWidth="1"/>
    <col min="17" max="18" width="5.21875" bestFit="1" customWidth="1"/>
    <col min="19" max="19" width="11.5546875" bestFit="1" customWidth="1"/>
    <col min="20" max="20" width="14.109375" bestFit="1" customWidth="1"/>
    <col min="21" max="21" width="13.5546875" bestFit="1" customWidth="1"/>
    <col min="22" max="22" width="14" bestFit="1" customWidth="1"/>
    <col min="23" max="23" width="11.109375" bestFit="1" customWidth="1"/>
    <col min="24" max="24" width="9.88671875" bestFit="1" customWidth="1"/>
    <col min="25" max="25" width="9.33203125" bestFit="1" customWidth="1"/>
    <col min="26" max="26" width="9.77734375" bestFit="1" customWidth="1"/>
    <col min="27" max="27" width="12.77734375" bestFit="1" customWidth="1"/>
    <col min="28" max="28" width="10.6640625" bestFit="1" customWidth="1"/>
    <col min="29" max="29" width="9.33203125" bestFit="1" customWidth="1"/>
    <col min="30" max="30" width="12.33203125" bestFit="1" customWidth="1"/>
    <col min="31" max="31" width="22.44140625" bestFit="1" customWidth="1"/>
    <col min="32" max="32" width="37.88671875" bestFit="1" customWidth="1"/>
    <col min="33" max="33" width="5.6640625" bestFit="1" customWidth="1"/>
    <col min="34" max="34" width="16.77734375" bestFit="1" customWidth="1"/>
    <col min="35" max="35" width="9.33203125" bestFit="1" customWidth="1"/>
  </cols>
  <sheetData>
    <row r="1" spans="1:35" s="56" customFormat="1" x14ac:dyDescent="0.3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30</v>
      </c>
      <c r="H1" s="55" t="s">
        <v>31</v>
      </c>
      <c r="I1" s="55" t="s">
        <v>32</v>
      </c>
      <c r="J1" s="55" t="s">
        <v>33</v>
      </c>
      <c r="K1" s="55" t="s">
        <v>34</v>
      </c>
      <c r="L1" s="55" t="s">
        <v>35</v>
      </c>
      <c r="M1" s="55" t="s">
        <v>36</v>
      </c>
      <c r="N1" s="55" t="s">
        <v>37</v>
      </c>
      <c r="O1" s="55" t="s">
        <v>38</v>
      </c>
      <c r="P1" s="55" t="s">
        <v>39</v>
      </c>
      <c r="Q1" s="55" t="s">
        <v>40</v>
      </c>
      <c r="R1" s="55" t="s">
        <v>41</v>
      </c>
      <c r="S1" s="55" t="s">
        <v>42</v>
      </c>
      <c r="T1" s="55" t="s">
        <v>43</v>
      </c>
      <c r="U1" s="55" t="s">
        <v>44</v>
      </c>
      <c r="V1" s="55" t="s">
        <v>45</v>
      </c>
      <c r="W1" s="55" t="s">
        <v>46</v>
      </c>
      <c r="X1" s="55" t="s">
        <v>47</v>
      </c>
      <c r="Y1" s="55" t="s">
        <v>48</v>
      </c>
      <c r="Z1" s="55" t="s">
        <v>49</v>
      </c>
      <c r="AA1" s="55" t="s">
        <v>50</v>
      </c>
      <c r="AB1" s="55" t="s">
        <v>18</v>
      </c>
      <c r="AC1" s="55" t="s">
        <v>19</v>
      </c>
      <c r="AD1" s="55" t="s">
        <v>20</v>
      </c>
      <c r="AE1" s="55" t="s">
        <v>51</v>
      </c>
      <c r="AF1" s="55" t="s">
        <v>52</v>
      </c>
      <c r="AG1" s="55" t="s">
        <v>53</v>
      </c>
      <c r="AH1" s="55" t="s">
        <v>54</v>
      </c>
      <c r="AI1" s="55" t="s">
        <v>21</v>
      </c>
    </row>
    <row r="2" spans="1:35" x14ac:dyDescent="0.3">
      <c r="A2" s="57" t="s">
        <v>9</v>
      </c>
      <c r="B2" s="57" t="s">
        <v>24</v>
      </c>
      <c r="C2" s="58">
        <v>11055</v>
      </c>
      <c r="D2" s="58">
        <v>1155</v>
      </c>
      <c r="E2" s="58">
        <v>6238</v>
      </c>
      <c r="F2" s="58">
        <v>4253</v>
      </c>
      <c r="G2" s="58">
        <v>2019</v>
      </c>
      <c r="H2" s="59">
        <v>0.104477611940299</v>
      </c>
      <c r="I2" s="60">
        <v>1.7722026290477699</v>
      </c>
      <c r="J2" s="60">
        <v>1.4667293675052899</v>
      </c>
      <c r="K2" s="60">
        <v>0.27157300728897199</v>
      </c>
      <c r="L2" s="60" t="s">
        <v>55</v>
      </c>
      <c r="M2" s="60" t="s">
        <v>55</v>
      </c>
      <c r="N2" s="60" t="s">
        <v>55</v>
      </c>
      <c r="O2" s="60" t="s">
        <v>55</v>
      </c>
      <c r="P2" s="60" t="s">
        <v>55</v>
      </c>
      <c r="Q2" s="60" t="s">
        <v>55</v>
      </c>
      <c r="R2" s="60" t="s">
        <v>55</v>
      </c>
      <c r="S2" s="60" t="s">
        <v>55</v>
      </c>
      <c r="T2" s="60" t="s">
        <v>55</v>
      </c>
      <c r="U2" s="60" t="s">
        <v>55</v>
      </c>
      <c r="V2" s="60" t="s">
        <v>55</v>
      </c>
      <c r="W2" s="60" t="s">
        <v>55</v>
      </c>
      <c r="X2" s="60" t="s">
        <v>55</v>
      </c>
      <c r="Y2" s="60" t="s">
        <v>55</v>
      </c>
      <c r="Z2" s="60" t="s">
        <v>55</v>
      </c>
      <c r="AA2" s="57" t="s">
        <v>56</v>
      </c>
      <c r="AB2" s="57" t="s">
        <v>57</v>
      </c>
      <c r="AC2" s="57" t="s">
        <v>58</v>
      </c>
      <c r="AD2" s="57" t="s">
        <v>59</v>
      </c>
      <c r="AE2" s="57" t="s">
        <v>60</v>
      </c>
      <c r="AF2" s="57" t="s">
        <v>60</v>
      </c>
      <c r="AG2" s="58">
        <v>4</v>
      </c>
      <c r="AH2" s="57" t="s">
        <v>61</v>
      </c>
      <c r="AI2" s="57" t="s">
        <v>62</v>
      </c>
    </row>
    <row r="3" spans="1:35" x14ac:dyDescent="0.3">
      <c r="A3" s="57" t="s">
        <v>9</v>
      </c>
      <c r="B3" s="57" t="s">
        <v>25</v>
      </c>
      <c r="C3" s="58">
        <v>11600</v>
      </c>
      <c r="D3" s="58">
        <v>1394</v>
      </c>
      <c r="E3" s="58">
        <v>7830</v>
      </c>
      <c r="F3" s="58">
        <v>4403</v>
      </c>
      <c r="G3" s="58">
        <v>2020</v>
      </c>
      <c r="H3" s="59">
        <v>0.12017241379310301</v>
      </c>
      <c r="I3" s="60">
        <v>1.4814814814814801</v>
      </c>
      <c r="J3" s="60">
        <v>1.77833295480354</v>
      </c>
      <c r="K3" s="60">
        <v>0.31660231660231702</v>
      </c>
      <c r="L3" s="60">
        <v>0.104477611940299</v>
      </c>
      <c r="M3" s="60">
        <v>1.7722026290477699</v>
      </c>
      <c r="N3" s="60">
        <v>1.4667293675052899</v>
      </c>
      <c r="O3" s="60">
        <v>0.27157300728897199</v>
      </c>
      <c r="P3" s="60">
        <v>0.13995468456166599</v>
      </c>
      <c r="Q3" s="60">
        <v>-0.179180608014191</v>
      </c>
      <c r="R3" s="60">
        <v>0.19264138131497999</v>
      </c>
      <c r="S3" s="60">
        <v>0.153415457862455</v>
      </c>
      <c r="T3" s="60">
        <v>0.91225934147485099</v>
      </c>
      <c r="U3" s="60">
        <v>-1.16794363821432</v>
      </c>
      <c r="V3" s="60">
        <v>1.2556842967394599</v>
      </c>
      <c r="W3" s="60">
        <v>4.5029309313344097E-2</v>
      </c>
      <c r="X3" s="60">
        <v>4.1078408061258703E-2</v>
      </c>
      <c r="Y3" s="60">
        <v>-5.2591695345704903E-2</v>
      </c>
      <c r="Z3" s="60">
        <v>5.6542596597790401E-2</v>
      </c>
      <c r="AA3" s="57" t="s">
        <v>63</v>
      </c>
      <c r="AB3" s="57" t="s">
        <v>57</v>
      </c>
      <c r="AC3" s="57" t="s">
        <v>64</v>
      </c>
      <c r="AD3" s="57" t="s">
        <v>59</v>
      </c>
      <c r="AE3" s="57" t="s">
        <v>65</v>
      </c>
      <c r="AF3" s="57" t="s">
        <v>66</v>
      </c>
      <c r="AG3" s="58">
        <v>2</v>
      </c>
      <c r="AH3" s="57" t="s">
        <v>67</v>
      </c>
      <c r="AI3" s="57" t="s">
        <v>62</v>
      </c>
    </row>
    <row r="4" spans="1:35" x14ac:dyDescent="0.3">
      <c r="A4" s="57" t="s">
        <v>9</v>
      </c>
      <c r="B4" s="57" t="s">
        <v>26</v>
      </c>
      <c r="C4" s="58">
        <v>13136</v>
      </c>
      <c r="D4" s="58">
        <v>1851</v>
      </c>
      <c r="E4" s="58">
        <v>8000</v>
      </c>
      <c r="F4" s="58">
        <v>3548</v>
      </c>
      <c r="G4" s="58">
        <v>2021</v>
      </c>
      <c r="H4" s="59">
        <v>0.14091047503045101</v>
      </c>
      <c r="I4" s="60">
        <v>1.6419999999999999</v>
      </c>
      <c r="J4" s="60">
        <v>2.2547914317925599</v>
      </c>
      <c r="K4" s="60">
        <v>0.52170236753100296</v>
      </c>
      <c r="L4" s="60">
        <v>0.12017241379310301</v>
      </c>
      <c r="M4" s="60">
        <v>1.4814814814814801</v>
      </c>
      <c r="N4" s="60">
        <v>1.77833295480354</v>
      </c>
      <c r="O4" s="60">
        <v>0.31660231660231702</v>
      </c>
      <c r="P4" s="60">
        <v>0.159197266655275</v>
      </c>
      <c r="Q4" s="60">
        <v>0.10287242292062899</v>
      </c>
      <c r="R4" s="60">
        <v>0.23738109400340801</v>
      </c>
      <c r="S4" s="60">
        <v>0.499450783579312</v>
      </c>
      <c r="T4" s="60">
        <v>0.31874465290531401</v>
      </c>
      <c r="U4" s="60">
        <v>0.20597109125226401</v>
      </c>
      <c r="V4" s="60">
        <v>0.47528425584242201</v>
      </c>
      <c r="W4" s="60">
        <v>0.20510005092868699</v>
      </c>
      <c r="X4" s="60">
        <v>6.5374544544126501E-2</v>
      </c>
      <c r="Y4" s="60">
        <v>4.2244681305676497E-2</v>
      </c>
      <c r="Z4" s="60">
        <v>9.7480825078883698E-2</v>
      </c>
      <c r="AA4" s="57" t="s">
        <v>63</v>
      </c>
      <c r="AB4" s="57" t="s">
        <v>57</v>
      </c>
      <c r="AC4" s="57" t="s">
        <v>58</v>
      </c>
      <c r="AD4" s="57" t="s">
        <v>68</v>
      </c>
      <c r="AE4" s="57" t="s">
        <v>65</v>
      </c>
      <c r="AF4" s="57" t="s">
        <v>66</v>
      </c>
      <c r="AG4" s="58">
        <v>2</v>
      </c>
      <c r="AH4" s="57" t="s">
        <v>67</v>
      </c>
      <c r="AI4" s="57" t="s">
        <v>62</v>
      </c>
    </row>
    <row r="5" spans="1:35" x14ac:dyDescent="0.3">
      <c r="A5" s="57" t="s">
        <v>9</v>
      </c>
      <c r="B5" s="57" t="s">
        <v>27</v>
      </c>
      <c r="C5" s="58">
        <v>14136</v>
      </c>
      <c r="D5" s="58">
        <v>1516</v>
      </c>
      <c r="E5" s="58">
        <v>7527</v>
      </c>
      <c r="F5" s="58">
        <v>2558</v>
      </c>
      <c r="G5" s="58">
        <v>2022</v>
      </c>
      <c r="H5" s="59">
        <v>0.107243916242218</v>
      </c>
      <c r="I5" s="60">
        <v>1.87803905938621</v>
      </c>
      <c r="J5" s="60">
        <v>2.9425332290852202</v>
      </c>
      <c r="K5" s="60">
        <v>0.59265050820953902</v>
      </c>
      <c r="L5" s="60">
        <v>0.14091047503045101</v>
      </c>
      <c r="M5" s="60">
        <v>1.6419999999999999</v>
      </c>
      <c r="N5" s="60">
        <v>2.2547914317925599</v>
      </c>
      <c r="O5" s="60">
        <v>0.52170236753100296</v>
      </c>
      <c r="P5" s="60">
        <v>-0.27301892867850303</v>
      </c>
      <c r="Q5" s="60">
        <v>0.134313167934764</v>
      </c>
      <c r="R5" s="60">
        <v>0.26621337566324099</v>
      </c>
      <c r="S5" s="60">
        <v>0.12750761491950199</v>
      </c>
      <c r="T5" s="60">
        <v>-2.1411970481203499</v>
      </c>
      <c r="U5" s="60">
        <v>1.0533736986576001</v>
      </c>
      <c r="V5" s="60">
        <v>2.0878233494627501</v>
      </c>
      <c r="W5" s="60">
        <v>7.0948140678535401E-2</v>
      </c>
      <c r="X5" s="60">
        <v>-0.15191394939050701</v>
      </c>
      <c r="Y5" s="60">
        <v>7.47349053594282E-2</v>
      </c>
      <c r="Z5" s="60">
        <v>0.148127184709614</v>
      </c>
      <c r="AA5" s="57" t="s">
        <v>56</v>
      </c>
      <c r="AB5" s="57" t="s">
        <v>57</v>
      </c>
      <c r="AC5" s="57" t="s">
        <v>58</v>
      </c>
      <c r="AD5" s="57" t="s">
        <v>68</v>
      </c>
      <c r="AE5" s="57" t="s">
        <v>69</v>
      </c>
      <c r="AF5" s="57" t="s">
        <v>70</v>
      </c>
      <c r="AG5" s="58">
        <v>2</v>
      </c>
      <c r="AH5" s="57" t="s">
        <v>67</v>
      </c>
      <c r="AI5" s="57" t="s">
        <v>62</v>
      </c>
    </row>
    <row r="6" spans="1:35" x14ac:dyDescent="0.3">
      <c r="A6" s="57" t="s">
        <v>9</v>
      </c>
      <c r="B6" s="57" t="s">
        <v>28</v>
      </c>
      <c r="C6" s="58">
        <v>16301</v>
      </c>
      <c r="D6" s="58">
        <v>2316</v>
      </c>
      <c r="E6" s="58">
        <v>9351</v>
      </c>
      <c r="F6" s="58">
        <v>3534</v>
      </c>
      <c r="G6" s="58">
        <v>2023</v>
      </c>
      <c r="H6" s="59">
        <v>0.14207717317956001</v>
      </c>
      <c r="I6" s="60">
        <v>1.74323601753823</v>
      </c>
      <c r="J6" s="60">
        <v>2.6460101867572199</v>
      </c>
      <c r="K6" s="60">
        <v>0.65534804753819997</v>
      </c>
      <c r="L6" s="60">
        <v>0.107243916242218</v>
      </c>
      <c r="M6" s="60">
        <v>1.87803905938621</v>
      </c>
      <c r="N6" s="60">
        <v>2.9425332290852202</v>
      </c>
      <c r="O6" s="60">
        <v>0.59265050820953902</v>
      </c>
      <c r="P6" s="60">
        <v>0.281264551883811</v>
      </c>
      <c r="Q6" s="60">
        <v>-7.4485012794157507E-2</v>
      </c>
      <c r="R6" s="60">
        <v>-0.10621793733993901</v>
      </c>
      <c r="S6" s="60">
        <v>0.100561601749715</v>
      </c>
      <c r="T6" s="60">
        <v>2.7969378668395</v>
      </c>
      <c r="U6" s="60">
        <v>-0.74069039770807499</v>
      </c>
      <c r="V6" s="60">
        <v>-1.0562474691314301</v>
      </c>
      <c r="W6" s="60">
        <v>6.2697539328661595E-2</v>
      </c>
      <c r="X6" s="60">
        <v>0.17536112190599301</v>
      </c>
      <c r="Y6" s="60">
        <v>-4.6439465340664003E-2</v>
      </c>
      <c r="Z6" s="60">
        <v>-6.6224117236666893E-2</v>
      </c>
      <c r="AA6" s="57" t="s">
        <v>56</v>
      </c>
      <c r="AB6" s="57" t="s">
        <v>57</v>
      </c>
      <c r="AC6" s="57" t="s">
        <v>58</v>
      </c>
      <c r="AD6" s="57" t="s">
        <v>68</v>
      </c>
      <c r="AE6" s="57" t="s">
        <v>69</v>
      </c>
      <c r="AF6" s="57" t="s">
        <v>70</v>
      </c>
      <c r="AG6" s="58">
        <v>2</v>
      </c>
      <c r="AH6" s="57" t="s">
        <v>67</v>
      </c>
      <c r="AI6" s="57" t="s">
        <v>62</v>
      </c>
    </row>
    <row r="7" spans="1:35" x14ac:dyDescent="0.3">
      <c r="A7" s="57" t="s">
        <v>9</v>
      </c>
      <c r="B7" s="57" t="s">
        <v>29</v>
      </c>
      <c r="C7" s="58">
        <v>16769</v>
      </c>
      <c r="D7" s="58">
        <v>2134</v>
      </c>
      <c r="E7" s="58">
        <v>9072</v>
      </c>
      <c r="F7" s="58">
        <v>3941</v>
      </c>
      <c r="G7" s="58">
        <v>2024</v>
      </c>
      <c r="H7" s="59">
        <v>0.127258631999523</v>
      </c>
      <c r="I7" s="60">
        <v>1.84843474426808</v>
      </c>
      <c r="J7" s="60">
        <v>2.3019538188277102</v>
      </c>
      <c r="K7" s="60">
        <v>0.54148693225069799</v>
      </c>
      <c r="L7" s="60">
        <v>0.14207717317956001</v>
      </c>
      <c r="M7" s="60">
        <v>1.74323601753823</v>
      </c>
      <c r="N7" s="60">
        <v>2.6460101867572199</v>
      </c>
      <c r="O7" s="60">
        <v>0.65534804753819997</v>
      </c>
      <c r="P7" s="60">
        <v>-0.110148894972007</v>
      </c>
      <c r="Q7" s="60">
        <v>5.85960306087333E-2</v>
      </c>
      <c r="R7" s="60">
        <v>-0.13929466678327501</v>
      </c>
      <c r="S7" s="60">
        <v>-0.19084753114654901</v>
      </c>
      <c r="T7" s="60">
        <v>0.57715650975555599</v>
      </c>
      <c r="U7" s="60">
        <v>-0.30703059272869698</v>
      </c>
      <c r="V7" s="60">
        <v>0.72987408297314105</v>
      </c>
      <c r="W7" s="60">
        <v>-0.11386111528750301</v>
      </c>
      <c r="X7" s="60">
        <v>-6.5715683896209895E-2</v>
      </c>
      <c r="Y7" s="60">
        <v>3.4958845715472399E-2</v>
      </c>
      <c r="Z7" s="60">
        <v>-8.3104277106765004E-2</v>
      </c>
      <c r="AA7" s="57" t="s">
        <v>63</v>
      </c>
      <c r="AB7" s="57" t="s">
        <v>57</v>
      </c>
      <c r="AC7" s="57" t="s">
        <v>58</v>
      </c>
      <c r="AD7" s="57" t="s">
        <v>68</v>
      </c>
      <c r="AE7" s="57" t="s">
        <v>71</v>
      </c>
      <c r="AF7" s="57" t="s">
        <v>72</v>
      </c>
      <c r="AG7" s="58">
        <v>2</v>
      </c>
      <c r="AH7" s="57" t="s">
        <v>67</v>
      </c>
      <c r="AI7" s="57" t="s">
        <v>62</v>
      </c>
    </row>
    <row r="8" spans="1:35" x14ac:dyDescent="0.3">
      <c r="A8" s="61" t="s">
        <v>10</v>
      </c>
      <c r="B8" s="61" t="s">
        <v>24</v>
      </c>
      <c r="C8" s="62">
        <v>8515</v>
      </c>
      <c r="D8" s="62">
        <v>1446</v>
      </c>
      <c r="E8" s="62">
        <v>8437</v>
      </c>
      <c r="F8" s="62">
        <v>5632</v>
      </c>
      <c r="G8" s="62">
        <v>2019</v>
      </c>
      <c r="H8" s="63">
        <v>0.16981796829125101</v>
      </c>
      <c r="I8" s="64">
        <v>1.00924499229584</v>
      </c>
      <c r="J8" s="64">
        <v>1.498046875</v>
      </c>
      <c r="K8" s="64">
        <v>0.25674715909090901</v>
      </c>
      <c r="L8" s="64" t="s">
        <v>55</v>
      </c>
      <c r="M8" s="64" t="s">
        <v>55</v>
      </c>
      <c r="N8" s="64" t="s">
        <v>55</v>
      </c>
      <c r="O8" s="64" t="s">
        <v>55</v>
      </c>
      <c r="P8" s="64" t="s">
        <v>55</v>
      </c>
      <c r="Q8" s="64" t="s">
        <v>55</v>
      </c>
      <c r="R8" s="64" t="s">
        <v>55</v>
      </c>
      <c r="S8" s="64" t="s">
        <v>55</v>
      </c>
      <c r="T8" s="64" t="s">
        <v>55</v>
      </c>
      <c r="U8" s="64" t="s">
        <v>55</v>
      </c>
      <c r="V8" s="64" t="s">
        <v>55</v>
      </c>
      <c r="W8" s="64" t="s">
        <v>55</v>
      </c>
      <c r="X8" s="64" t="s">
        <v>55</v>
      </c>
      <c r="Y8" s="64" t="s">
        <v>55</v>
      </c>
      <c r="Z8" s="64" t="s">
        <v>55</v>
      </c>
      <c r="AA8" s="61" t="s">
        <v>56</v>
      </c>
      <c r="AB8" s="61" t="s">
        <v>73</v>
      </c>
      <c r="AC8" s="61" t="s">
        <v>64</v>
      </c>
      <c r="AD8" s="61" t="s">
        <v>59</v>
      </c>
      <c r="AE8" s="61" t="s">
        <v>60</v>
      </c>
      <c r="AF8" s="61" t="s">
        <v>60</v>
      </c>
      <c r="AG8" s="62">
        <v>4</v>
      </c>
      <c r="AH8" s="61" t="s">
        <v>61</v>
      </c>
      <c r="AI8" s="61" t="s">
        <v>62</v>
      </c>
    </row>
    <row r="9" spans="1:35" x14ac:dyDescent="0.3">
      <c r="A9" s="61" t="s">
        <v>10</v>
      </c>
      <c r="B9" s="61" t="s">
        <v>25</v>
      </c>
      <c r="C9" s="62">
        <v>8685</v>
      </c>
      <c r="D9" s="62">
        <v>1448</v>
      </c>
      <c r="E9" s="62">
        <v>9337</v>
      </c>
      <c r="F9" s="62">
        <v>6606</v>
      </c>
      <c r="G9" s="62">
        <v>2020</v>
      </c>
      <c r="H9" s="63">
        <v>0.16672423719055801</v>
      </c>
      <c r="I9" s="64">
        <v>0.93017029024311904</v>
      </c>
      <c r="J9" s="64">
        <v>1.4134120496518301</v>
      </c>
      <c r="K9" s="64">
        <v>0.21919467151074801</v>
      </c>
      <c r="L9" s="64">
        <v>0.16981796829125101</v>
      </c>
      <c r="M9" s="64">
        <v>1.00924499229584</v>
      </c>
      <c r="N9" s="64">
        <v>1.498046875</v>
      </c>
      <c r="O9" s="64">
        <v>0.25674715909090901</v>
      </c>
      <c r="P9" s="64">
        <v>-1.8385915351464999E-2</v>
      </c>
      <c r="Q9" s="64">
        <v>-8.1590120739882505E-2</v>
      </c>
      <c r="R9" s="64">
        <v>-5.8155501794557501E-2</v>
      </c>
      <c r="S9" s="64">
        <v>-0.158131537885905</v>
      </c>
      <c r="T9" s="64">
        <v>0.11626975616167599</v>
      </c>
      <c r="U9" s="64">
        <v>0.51596362010183805</v>
      </c>
      <c r="V9" s="64">
        <v>0.367766623736486</v>
      </c>
      <c r="W9" s="64">
        <v>-3.7552487580161303E-2</v>
      </c>
      <c r="X9" s="64">
        <v>-4.36621857420971E-3</v>
      </c>
      <c r="Y9" s="64">
        <v>-1.9375717435689301E-2</v>
      </c>
      <c r="Z9" s="64">
        <v>-1.3810551570262199E-2</v>
      </c>
      <c r="AA9" s="61" t="s">
        <v>74</v>
      </c>
      <c r="AB9" s="61" t="s">
        <v>73</v>
      </c>
      <c r="AC9" s="61" t="s">
        <v>64</v>
      </c>
      <c r="AD9" s="61" t="s">
        <v>59</v>
      </c>
      <c r="AE9" s="61" t="s">
        <v>75</v>
      </c>
      <c r="AF9" s="61" t="s">
        <v>76</v>
      </c>
      <c r="AG9" s="62">
        <v>4</v>
      </c>
      <c r="AH9" s="61" t="s">
        <v>61</v>
      </c>
      <c r="AI9" s="61" t="s">
        <v>62</v>
      </c>
    </row>
    <row r="10" spans="1:35" x14ac:dyDescent="0.3">
      <c r="A10" s="61" t="s">
        <v>10</v>
      </c>
      <c r="B10" s="61" t="s">
        <v>26</v>
      </c>
      <c r="C10" s="62">
        <v>9562</v>
      </c>
      <c r="D10" s="62">
        <v>1695</v>
      </c>
      <c r="E10" s="62">
        <v>10833</v>
      </c>
      <c r="F10" s="62">
        <v>7664</v>
      </c>
      <c r="G10" s="62">
        <v>2021</v>
      </c>
      <c r="H10" s="63">
        <v>0.177264170675591</v>
      </c>
      <c r="I10" s="64">
        <v>0.88267331302501595</v>
      </c>
      <c r="J10" s="64">
        <v>1.4134916492693099</v>
      </c>
      <c r="K10" s="64">
        <v>0.22116388308977</v>
      </c>
      <c r="L10" s="64">
        <v>0.16672423719055801</v>
      </c>
      <c r="M10" s="64">
        <v>0.93017029024311904</v>
      </c>
      <c r="N10" s="64">
        <v>1.4134120496518301</v>
      </c>
      <c r="O10" s="64">
        <v>0.21919467151074801</v>
      </c>
      <c r="P10" s="64">
        <v>6.1299936358045801E-2</v>
      </c>
      <c r="Q10" s="64">
        <v>-5.2412518950798299E-2</v>
      </c>
      <c r="R10" s="64">
        <v>5.6315761680106098E-5</v>
      </c>
      <c r="S10" s="64">
        <v>8.9437331689276294E-3</v>
      </c>
      <c r="T10" s="64">
        <v>6.8539540704338497</v>
      </c>
      <c r="U10" s="64">
        <v>-5.8602507432679403</v>
      </c>
      <c r="V10" s="64">
        <v>6.2966728340866302E-3</v>
      </c>
      <c r="W10" s="64">
        <v>1.9692115790225801E-3</v>
      </c>
      <c r="X10" s="64">
        <v>1.34968857175873E-2</v>
      </c>
      <c r="Y10" s="64">
        <v>-1.1540073619618899E-2</v>
      </c>
      <c r="Z10" s="64">
        <v>1.23994810542003E-5</v>
      </c>
      <c r="AA10" s="61" t="s">
        <v>56</v>
      </c>
      <c r="AB10" s="61" t="s">
        <v>73</v>
      </c>
      <c r="AC10" s="61" t="s">
        <v>64</v>
      </c>
      <c r="AD10" s="61" t="s">
        <v>59</v>
      </c>
      <c r="AE10" s="61" t="s">
        <v>69</v>
      </c>
      <c r="AF10" s="61" t="s">
        <v>70</v>
      </c>
      <c r="AG10" s="62">
        <v>4</v>
      </c>
      <c r="AH10" s="61" t="s">
        <v>61</v>
      </c>
      <c r="AI10" s="61" t="s">
        <v>62</v>
      </c>
    </row>
    <row r="11" spans="1:35" x14ac:dyDescent="0.3">
      <c r="A11" s="61" t="s">
        <v>10</v>
      </c>
      <c r="B11" s="61" t="s">
        <v>27</v>
      </c>
      <c r="C11" s="62">
        <v>10889</v>
      </c>
      <c r="D11" s="62">
        <v>1742</v>
      </c>
      <c r="E11" s="62">
        <v>12284</v>
      </c>
      <c r="F11" s="62">
        <v>8382</v>
      </c>
      <c r="G11" s="62">
        <v>2022</v>
      </c>
      <c r="H11" s="63">
        <v>0.15997795940857701</v>
      </c>
      <c r="I11" s="64">
        <v>0.88643764246173895</v>
      </c>
      <c r="J11" s="64">
        <v>1.4655213552851301</v>
      </c>
      <c r="K11" s="64">
        <v>0.20782629444046799</v>
      </c>
      <c r="L11" s="64">
        <v>0.177264170675591</v>
      </c>
      <c r="M11" s="64">
        <v>0.88267331302501595</v>
      </c>
      <c r="N11" s="64">
        <v>1.4134916492693099</v>
      </c>
      <c r="O11" s="64">
        <v>0.22116388308977</v>
      </c>
      <c r="P11" s="64">
        <v>-0.10260505756211501</v>
      </c>
      <c r="Q11" s="64">
        <v>4.2556235448667403E-3</v>
      </c>
      <c r="R11" s="64">
        <v>3.6148062780825198E-2</v>
      </c>
      <c r="S11" s="64">
        <v>-6.2201371236422998E-2</v>
      </c>
      <c r="T11" s="64">
        <v>1.6495626305748201</v>
      </c>
      <c r="U11" s="64">
        <v>-6.8416876674493393E-2</v>
      </c>
      <c r="V11" s="64">
        <v>-0.58114575390032797</v>
      </c>
      <c r="W11" s="64">
        <v>-1.3337588649302699E-2</v>
      </c>
      <c r="X11" s="64">
        <v>-2.2001187817868698E-2</v>
      </c>
      <c r="Y11" s="64">
        <v>9.1251615775446904E-4</v>
      </c>
      <c r="Z11" s="64">
        <v>7.7510830108114999E-3</v>
      </c>
      <c r="AA11" s="61" t="s">
        <v>56</v>
      </c>
      <c r="AB11" s="61" t="s">
        <v>73</v>
      </c>
      <c r="AC11" s="61" t="s">
        <v>64</v>
      </c>
      <c r="AD11" s="61" t="s">
        <v>59</v>
      </c>
      <c r="AE11" s="61" t="s">
        <v>77</v>
      </c>
      <c r="AF11" s="61" t="s">
        <v>78</v>
      </c>
      <c r="AG11" s="62">
        <v>4</v>
      </c>
      <c r="AH11" s="61" t="s">
        <v>61</v>
      </c>
      <c r="AI11" s="61" t="s">
        <v>62</v>
      </c>
    </row>
    <row r="12" spans="1:35" x14ac:dyDescent="0.3">
      <c r="A12" s="61" t="s">
        <v>10</v>
      </c>
      <c r="B12" s="61" t="s">
        <v>28</v>
      </c>
      <c r="C12" s="62">
        <v>11530</v>
      </c>
      <c r="D12" s="62">
        <v>1701</v>
      </c>
      <c r="E12" s="62">
        <v>13652</v>
      </c>
      <c r="F12" s="62">
        <v>8973</v>
      </c>
      <c r="G12" s="62">
        <v>2023</v>
      </c>
      <c r="H12" s="63">
        <v>0.14752818733738099</v>
      </c>
      <c r="I12" s="64">
        <v>0.84456489891591002</v>
      </c>
      <c r="J12" s="64">
        <v>1.52145324863479</v>
      </c>
      <c r="K12" s="64">
        <v>0.189568706118355</v>
      </c>
      <c r="L12" s="64">
        <v>0.15997795940857701</v>
      </c>
      <c r="M12" s="64">
        <v>0.88643764246173895</v>
      </c>
      <c r="N12" s="64">
        <v>1.4655213552851301</v>
      </c>
      <c r="O12" s="64">
        <v>0.20782629444046799</v>
      </c>
      <c r="P12" s="64">
        <v>-8.1016793933629996E-2</v>
      </c>
      <c r="Q12" s="64">
        <v>-4.83891995488408E-2</v>
      </c>
      <c r="R12" s="64">
        <v>3.7454909652843801E-2</v>
      </c>
      <c r="S12" s="64">
        <v>-9.1951083829627106E-2</v>
      </c>
      <c r="T12" s="64">
        <v>0.881085796484392</v>
      </c>
      <c r="U12" s="64">
        <v>0.52624936578778603</v>
      </c>
      <c r="V12" s="64">
        <v>-0.40733516227217798</v>
      </c>
      <c r="W12" s="64">
        <v>-1.8257588322112599E-2</v>
      </c>
      <c r="X12" s="64">
        <v>-1.60865017486727E-2</v>
      </c>
      <c r="Y12" s="64">
        <v>-9.6080442753262198E-3</v>
      </c>
      <c r="Z12" s="64">
        <v>7.43695770188634E-3</v>
      </c>
      <c r="AA12" s="61" t="s">
        <v>56</v>
      </c>
      <c r="AB12" s="61" t="s">
        <v>57</v>
      </c>
      <c r="AC12" s="61" t="s">
        <v>64</v>
      </c>
      <c r="AD12" s="61" t="s">
        <v>59</v>
      </c>
      <c r="AE12" s="61" t="s">
        <v>77</v>
      </c>
      <c r="AF12" s="61" t="s">
        <v>78</v>
      </c>
      <c r="AG12" s="62">
        <v>2</v>
      </c>
      <c r="AH12" s="61" t="s">
        <v>67</v>
      </c>
      <c r="AI12" s="61" t="s">
        <v>61</v>
      </c>
    </row>
    <row r="13" spans="1:35" x14ac:dyDescent="0.3">
      <c r="A13" s="61" t="s">
        <v>10</v>
      </c>
      <c r="B13" s="61" t="s">
        <v>29</v>
      </c>
      <c r="C13" s="62">
        <v>12404</v>
      </c>
      <c r="D13" s="62">
        <v>1811</v>
      </c>
      <c r="E13" s="62">
        <v>15116</v>
      </c>
      <c r="F13" s="62">
        <v>9866</v>
      </c>
      <c r="G13" s="62">
        <v>2024</v>
      </c>
      <c r="H13" s="63">
        <v>0.14600128990648201</v>
      </c>
      <c r="I13" s="64">
        <v>0.82058745699920599</v>
      </c>
      <c r="J13" s="64">
        <v>1.5321305493614401</v>
      </c>
      <c r="K13" s="64">
        <v>0.18355969997972801</v>
      </c>
      <c r="L13" s="64">
        <v>0.14752818733738099</v>
      </c>
      <c r="M13" s="64">
        <v>0.84456489891591002</v>
      </c>
      <c r="N13" s="64">
        <v>1.52145324863479</v>
      </c>
      <c r="O13" s="64">
        <v>0.189568706118355</v>
      </c>
      <c r="P13" s="64">
        <v>-1.0403801469683199E-2</v>
      </c>
      <c r="Q13" s="64">
        <v>-2.8801087485547099E-2</v>
      </c>
      <c r="R13" s="64">
        <v>6.9933199471561196E-3</v>
      </c>
      <c r="S13" s="64">
        <v>-3.2211569008074203E-2</v>
      </c>
      <c r="T13" s="64">
        <v>0.32298338112854302</v>
      </c>
      <c r="U13" s="64">
        <v>0.89412246507854998</v>
      </c>
      <c r="V13" s="64">
        <v>-0.217105846207093</v>
      </c>
      <c r="W13" s="64">
        <v>-6.0090061386267003E-3</v>
      </c>
      <c r="X13" s="64">
        <v>-1.9408091198758299E-3</v>
      </c>
      <c r="Y13" s="64">
        <v>-5.3727873813410503E-3</v>
      </c>
      <c r="Z13" s="64">
        <v>1.3045903625901699E-3</v>
      </c>
      <c r="AA13" s="61" t="s">
        <v>74</v>
      </c>
      <c r="AB13" s="61" t="s">
        <v>57</v>
      </c>
      <c r="AC13" s="61" t="s">
        <v>64</v>
      </c>
      <c r="AD13" s="61" t="s">
        <v>59</v>
      </c>
      <c r="AE13" s="61" t="s">
        <v>75</v>
      </c>
      <c r="AF13" s="61" t="s">
        <v>76</v>
      </c>
      <c r="AG13" s="62">
        <v>2</v>
      </c>
      <c r="AH13" s="61" t="s">
        <v>67</v>
      </c>
      <c r="AI13" s="61" t="s">
        <v>61</v>
      </c>
    </row>
    <row r="14" spans="1:35" x14ac:dyDescent="0.3">
      <c r="A14" s="65" t="s">
        <v>6</v>
      </c>
      <c r="B14" s="65" t="s">
        <v>24</v>
      </c>
      <c r="C14" s="66">
        <v>39783</v>
      </c>
      <c r="D14" s="66">
        <v>6756</v>
      </c>
      <c r="E14" s="66">
        <v>20153</v>
      </c>
      <c r="F14" s="66">
        <v>8229</v>
      </c>
      <c r="G14" s="66">
        <v>2019</v>
      </c>
      <c r="H14" s="67">
        <v>0.169821280446422</v>
      </c>
      <c r="I14" s="68">
        <v>1.97404852875502</v>
      </c>
      <c r="J14" s="68">
        <v>2.4490217523392901</v>
      </c>
      <c r="K14" s="68">
        <v>0.82099890630696304</v>
      </c>
      <c r="L14" s="68" t="s">
        <v>55</v>
      </c>
      <c r="M14" s="68" t="s">
        <v>55</v>
      </c>
      <c r="N14" s="68" t="s">
        <v>55</v>
      </c>
      <c r="O14" s="68" t="s">
        <v>55</v>
      </c>
      <c r="P14" s="68" t="s">
        <v>55</v>
      </c>
      <c r="Q14" s="68" t="s">
        <v>55</v>
      </c>
      <c r="R14" s="68" t="s">
        <v>55</v>
      </c>
      <c r="S14" s="68" t="s">
        <v>55</v>
      </c>
      <c r="T14" s="68" t="s">
        <v>55</v>
      </c>
      <c r="U14" s="68" t="s">
        <v>55</v>
      </c>
      <c r="V14" s="68" t="s">
        <v>55</v>
      </c>
      <c r="W14" s="68" t="s">
        <v>55</v>
      </c>
      <c r="X14" s="68" t="s">
        <v>55</v>
      </c>
      <c r="Y14" s="68" t="s">
        <v>55</v>
      </c>
      <c r="Z14" s="68" t="s">
        <v>55</v>
      </c>
      <c r="AA14" s="65" t="s">
        <v>56</v>
      </c>
      <c r="AB14" s="65" t="s">
        <v>73</v>
      </c>
      <c r="AC14" s="65" t="s">
        <v>58</v>
      </c>
      <c r="AD14" s="65" t="s">
        <v>68</v>
      </c>
      <c r="AE14" s="65" t="s">
        <v>60</v>
      </c>
      <c r="AF14" s="65" t="s">
        <v>60</v>
      </c>
      <c r="AG14" s="66">
        <v>4</v>
      </c>
      <c r="AH14" s="65" t="s">
        <v>61</v>
      </c>
      <c r="AI14" s="65" t="s">
        <v>62</v>
      </c>
    </row>
    <row r="15" spans="1:35" x14ac:dyDescent="0.3">
      <c r="A15" s="65" t="s">
        <v>6</v>
      </c>
      <c r="B15" s="65" t="s">
        <v>25</v>
      </c>
      <c r="C15" s="66">
        <v>47028</v>
      </c>
      <c r="D15" s="66">
        <v>7999</v>
      </c>
      <c r="E15" s="66">
        <v>68740</v>
      </c>
      <c r="F15" s="66">
        <v>47674</v>
      </c>
      <c r="G15" s="66">
        <v>2020</v>
      </c>
      <c r="H15" s="67">
        <v>0.17009015905418001</v>
      </c>
      <c r="I15" s="68">
        <v>0.68414314809426802</v>
      </c>
      <c r="J15" s="68">
        <v>1.4418760750094399</v>
      </c>
      <c r="K15" s="68">
        <v>0.16778537567646901</v>
      </c>
      <c r="L15" s="68">
        <v>0.169821280446422</v>
      </c>
      <c r="M15" s="68">
        <v>1.97404852875502</v>
      </c>
      <c r="N15" s="68">
        <v>2.4490217523392901</v>
      </c>
      <c r="O15" s="68">
        <v>0.82099890630696304</v>
      </c>
      <c r="P15" s="68">
        <v>1.5820512792080099E-3</v>
      </c>
      <c r="Q15" s="68">
        <v>-1.05967462709441</v>
      </c>
      <c r="R15" s="68">
        <v>-0.52974356455262595</v>
      </c>
      <c r="S15" s="68">
        <v>-1.5878361403678301</v>
      </c>
      <c r="T15" s="68">
        <v>-9.9635676439605394E-4</v>
      </c>
      <c r="U15" s="68">
        <v>0.66737026583167003</v>
      </c>
      <c r="V15" s="68">
        <v>0.33362609093272599</v>
      </c>
      <c r="W15" s="68">
        <v>-0.65321353063049403</v>
      </c>
      <c r="X15" s="68">
        <v>6.5083371983872202E-4</v>
      </c>
      <c r="Y15" s="68">
        <v>-0.43593528758171701</v>
      </c>
      <c r="Z15" s="68">
        <v>-0.217929076768616</v>
      </c>
      <c r="AA15" s="65" t="s">
        <v>74</v>
      </c>
      <c r="AB15" s="65" t="s">
        <v>73</v>
      </c>
      <c r="AC15" s="65" t="s">
        <v>64</v>
      </c>
      <c r="AD15" s="65" t="s">
        <v>59</v>
      </c>
      <c r="AE15" s="65" t="s">
        <v>75</v>
      </c>
      <c r="AF15" s="65" t="s">
        <v>76</v>
      </c>
      <c r="AG15" s="66">
        <v>4</v>
      </c>
      <c r="AH15" s="65" t="s">
        <v>61</v>
      </c>
      <c r="AI15" s="65" t="s">
        <v>61</v>
      </c>
    </row>
    <row r="16" spans="1:35" x14ac:dyDescent="0.3">
      <c r="A16" s="65" t="s">
        <v>6</v>
      </c>
      <c r="B16" s="65" t="s">
        <v>26</v>
      </c>
      <c r="C16" s="66">
        <v>52446</v>
      </c>
      <c r="D16" s="66">
        <v>8892</v>
      </c>
      <c r="E16" s="66">
        <v>70506</v>
      </c>
      <c r="F16" s="66">
        <v>49061</v>
      </c>
      <c r="G16" s="66">
        <v>2021</v>
      </c>
      <c r="H16" s="67">
        <v>0.16954581855622899</v>
      </c>
      <c r="I16" s="68">
        <v>0.74385158709897004</v>
      </c>
      <c r="J16" s="68">
        <v>1.43710890524041</v>
      </c>
      <c r="K16" s="68">
        <v>0.18124375777093801</v>
      </c>
      <c r="L16" s="68">
        <v>0.17009015905418001</v>
      </c>
      <c r="M16" s="68">
        <v>0.68414314809426802</v>
      </c>
      <c r="N16" s="68">
        <v>1.4418760750094399</v>
      </c>
      <c r="O16" s="68">
        <v>0.16778537567646901</v>
      </c>
      <c r="P16" s="68">
        <v>-3.2054375856458298E-3</v>
      </c>
      <c r="Q16" s="68">
        <v>8.3674358662740006E-2</v>
      </c>
      <c r="R16" s="68">
        <v>-3.3117047561393299E-3</v>
      </c>
      <c r="S16" s="68">
        <v>7.7157216320954902E-2</v>
      </c>
      <c r="T16" s="68">
        <v>-4.15442357628871E-2</v>
      </c>
      <c r="U16" s="68">
        <v>1.0844657525574199</v>
      </c>
      <c r="V16" s="68">
        <v>-4.2921516794533703E-2</v>
      </c>
      <c r="W16" s="68">
        <v>1.3458382094468899E-2</v>
      </c>
      <c r="X16" s="68">
        <v>-5.5911819871963303E-4</v>
      </c>
      <c r="Y16" s="68">
        <v>1.45951544662835E-2</v>
      </c>
      <c r="Z16" s="68">
        <v>-5.7765417309499703E-4</v>
      </c>
      <c r="AA16" s="65" t="s">
        <v>74</v>
      </c>
      <c r="AB16" s="65" t="s">
        <v>73</v>
      </c>
      <c r="AC16" s="65" t="s">
        <v>64</v>
      </c>
      <c r="AD16" s="65" t="s">
        <v>59</v>
      </c>
      <c r="AE16" s="65" t="s">
        <v>79</v>
      </c>
      <c r="AF16" s="65" t="s">
        <v>80</v>
      </c>
      <c r="AG16" s="66">
        <v>4</v>
      </c>
      <c r="AH16" s="65" t="s">
        <v>61</v>
      </c>
      <c r="AI16" s="65" t="s">
        <v>61</v>
      </c>
    </row>
    <row r="17" spans="1:35" x14ac:dyDescent="0.3">
      <c r="A17" s="65" t="s">
        <v>6</v>
      </c>
      <c r="B17" s="65" t="s">
        <v>27</v>
      </c>
      <c r="C17" s="66">
        <v>60580</v>
      </c>
      <c r="D17" s="66">
        <v>10143</v>
      </c>
      <c r="E17" s="66">
        <v>73077</v>
      </c>
      <c r="F17" s="66">
        <v>50304</v>
      </c>
      <c r="G17" s="66">
        <v>2022</v>
      </c>
      <c r="H17" s="67">
        <v>0.16743149554308401</v>
      </c>
      <c r="I17" s="68">
        <v>0.82898860106463002</v>
      </c>
      <c r="J17" s="68">
        <v>1.45270753816794</v>
      </c>
      <c r="K17" s="68">
        <v>0.20163406488549601</v>
      </c>
      <c r="L17" s="68">
        <v>0.16954581855622899</v>
      </c>
      <c r="M17" s="68">
        <v>0.74385158709897004</v>
      </c>
      <c r="N17" s="68">
        <v>1.43710890524041</v>
      </c>
      <c r="O17" s="68">
        <v>0.18124375777093801</v>
      </c>
      <c r="P17" s="68">
        <v>-1.2548920480776901E-2</v>
      </c>
      <c r="Q17" s="68">
        <v>0.10836486958847</v>
      </c>
      <c r="R17" s="68">
        <v>1.0795692204322801E-2</v>
      </c>
      <c r="S17" s="68">
        <v>0.106611641312015</v>
      </c>
      <c r="T17" s="68">
        <v>-0.117706850080758</v>
      </c>
      <c r="U17" s="68">
        <v>1.0164449984530599</v>
      </c>
      <c r="V17" s="68">
        <v>0.101261851627699</v>
      </c>
      <c r="W17" s="68">
        <v>2.0390307114557998E-2</v>
      </c>
      <c r="X17" s="68">
        <v>-2.4000788226338798E-3</v>
      </c>
      <c r="Y17" s="68">
        <v>2.0725625683514302E-2</v>
      </c>
      <c r="Z17" s="68">
        <v>2.0647602536775899E-3</v>
      </c>
      <c r="AA17" s="65" t="s">
        <v>74</v>
      </c>
      <c r="AB17" s="65" t="s">
        <v>73</v>
      </c>
      <c r="AC17" s="65" t="s">
        <v>64</v>
      </c>
      <c r="AD17" s="65" t="s">
        <v>59</v>
      </c>
      <c r="AE17" s="65" t="s">
        <v>79</v>
      </c>
      <c r="AF17" s="65" t="s">
        <v>80</v>
      </c>
      <c r="AG17" s="66">
        <v>4</v>
      </c>
      <c r="AH17" s="65" t="s">
        <v>61</v>
      </c>
      <c r="AI17" s="65" t="s">
        <v>62</v>
      </c>
    </row>
    <row r="18" spans="1:35" x14ac:dyDescent="0.3">
      <c r="A18" s="65" t="s">
        <v>6</v>
      </c>
      <c r="B18" s="65" t="s">
        <v>28</v>
      </c>
      <c r="C18" s="66">
        <v>61896</v>
      </c>
      <c r="D18" s="66">
        <v>10282</v>
      </c>
      <c r="E18" s="66">
        <v>78489</v>
      </c>
      <c r="F18" s="66">
        <v>51218</v>
      </c>
      <c r="G18" s="66">
        <v>2023</v>
      </c>
      <c r="H18" s="67">
        <v>0.16611735814915299</v>
      </c>
      <c r="I18" s="68">
        <v>0.78859458013224804</v>
      </c>
      <c r="J18" s="68">
        <v>1.5324495294623</v>
      </c>
      <c r="K18" s="68">
        <v>0.20074973642079</v>
      </c>
      <c r="L18" s="68">
        <v>0.16743149554308401</v>
      </c>
      <c r="M18" s="68">
        <v>0.82898860106463002</v>
      </c>
      <c r="N18" s="68">
        <v>1.45270753816794</v>
      </c>
      <c r="O18" s="68">
        <v>0.20163406488549601</v>
      </c>
      <c r="P18" s="68">
        <v>-7.8797704086078398E-3</v>
      </c>
      <c r="Q18" s="68">
        <v>-4.9954056168931102E-2</v>
      </c>
      <c r="R18" s="68">
        <v>5.3438371861888101E-2</v>
      </c>
      <c r="S18" s="68">
        <v>-4.3954547156508303E-3</v>
      </c>
      <c r="T18" s="68">
        <v>1.7927088136184099</v>
      </c>
      <c r="U18" s="68">
        <v>11.3649347793439</v>
      </c>
      <c r="V18" s="68">
        <v>-12.1576435929623</v>
      </c>
      <c r="W18" s="68">
        <v>-8.8432846470662396E-4</v>
      </c>
      <c r="X18" s="68">
        <v>-1.5853434328131999E-3</v>
      </c>
      <c r="Y18" s="68">
        <v>-1.0050335324908099E-2</v>
      </c>
      <c r="Z18" s="68">
        <v>1.0751350293014701E-2</v>
      </c>
      <c r="AA18" s="65" t="s">
        <v>63</v>
      </c>
      <c r="AB18" s="65" t="s">
        <v>73</v>
      </c>
      <c r="AC18" s="65" t="s">
        <v>64</v>
      </c>
      <c r="AD18" s="65" t="s">
        <v>59</v>
      </c>
      <c r="AE18" s="65" t="s">
        <v>71</v>
      </c>
      <c r="AF18" s="65" t="s">
        <v>72</v>
      </c>
      <c r="AG18" s="66">
        <v>4</v>
      </c>
      <c r="AH18" s="65" t="s">
        <v>61</v>
      </c>
      <c r="AI18" s="65" t="s">
        <v>62</v>
      </c>
    </row>
    <row r="19" spans="1:35" x14ac:dyDescent="0.3">
      <c r="A19" s="65" t="s">
        <v>6</v>
      </c>
      <c r="B19" s="65" t="s">
        <v>29</v>
      </c>
      <c r="C19" s="66">
        <v>63121</v>
      </c>
      <c r="D19" s="66">
        <v>10671</v>
      </c>
      <c r="E19" s="66">
        <v>79863</v>
      </c>
      <c r="F19" s="66">
        <v>49402</v>
      </c>
      <c r="G19" s="66">
        <v>2024</v>
      </c>
      <c r="H19" s="67">
        <v>0.16905625703014801</v>
      </c>
      <c r="I19" s="68">
        <v>0.79036600177804495</v>
      </c>
      <c r="J19" s="68">
        <v>1.61659446985952</v>
      </c>
      <c r="K19" s="68">
        <v>0.21600340067203799</v>
      </c>
      <c r="L19" s="68">
        <v>0.16611735814915299</v>
      </c>
      <c r="M19" s="68">
        <v>0.78859458013224804</v>
      </c>
      <c r="N19" s="68">
        <v>1.5324495294623</v>
      </c>
      <c r="O19" s="68">
        <v>0.20074973642079</v>
      </c>
      <c r="P19" s="68">
        <v>1.7537025997109199E-2</v>
      </c>
      <c r="Q19" s="68">
        <v>2.2437829155282601E-3</v>
      </c>
      <c r="R19" s="68">
        <v>5.3454302646016902E-2</v>
      </c>
      <c r="S19" s="68">
        <v>7.3235111558654406E-2</v>
      </c>
      <c r="T19" s="68">
        <v>0.23946199608180699</v>
      </c>
      <c r="U19" s="68">
        <v>3.06380760235643E-2</v>
      </c>
      <c r="V19" s="68">
        <v>0.72989992789462899</v>
      </c>
      <c r="W19" s="68">
        <v>1.5253664251248E-2</v>
      </c>
      <c r="X19" s="68">
        <v>3.6526728891655498E-3</v>
      </c>
      <c r="Y19" s="68">
        <v>4.6734292496766099E-4</v>
      </c>
      <c r="Z19" s="68">
        <v>1.11336484371148E-2</v>
      </c>
      <c r="AA19" s="65" t="s">
        <v>63</v>
      </c>
      <c r="AB19" s="65" t="s">
        <v>73</v>
      </c>
      <c r="AC19" s="65" t="s">
        <v>64</v>
      </c>
      <c r="AD19" s="65" t="s">
        <v>59</v>
      </c>
      <c r="AE19" s="65" t="s">
        <v>65</v>
      </c>
      <c r="AF19" s="65" t="s">
        <v>66</v>
      </c>
      <c r="AG19" s="66">
        <v>4</v>
      </c>
      <c r="AH19" s="65" t="s">
        <v>61</v>
      </c>
      <c r="AI19" s="65" t="s">
        <v>62</v>
      </c>
    </row>
    <row r="20" spans="1:35" x14ac:dyDescent="0.3">
      <c r="A20" s="69" t="s">
        <v>7</v>
      </c>
      <c r="B20" s="69" t="s">
        <v>24</v>
      </c>
      <c r="C20" s="70">
        <v>49388</v>
      </c>
      <c r="D20" s="70">
        <v>15593</v>
      </c>
      <c r="E20" s="70">
        <v>77311</v>
      </c>
      <c r="F20" s="70">
        <v>65273</v>
      </c>
      <c r="G20" s="70">
        <v>2019</v>
      </c>
      <c r="H20" s="71">
        <v>0.31572446748197902</v>
      </c>
      <c r="I20" s="72">
        <v>0.63882241854328603</v>
      </c>
      <c r="J20" s="72">
        <v>1.18442541326429</v>
      </c>
      <c r="K20" s="72">
        <v>0.238888974001501</v>
      </c>
      <c r="L20" s="72" t="s">
        <v>55</v>
      </c>
      <c r="M20" s="72" t="s">
        <v>55</v>
      </c>
      <c r="N20" s="72" t="s">
        <v>55</v>
      </c>
      <c r="O20" s="72" t="s">
        <v>55</v>
      </c>
      <c r="P20" s="72" t="s">
        <v>55</v>
      </c>
      <c r="Q20" s="72" t="s">
        <v>55</v>
      </c>
      <c r="R20" s="72" t="s">
        <v>55</v>
      </c>
      <c r="S20" s="72" t="s">
        <v>55</v>
      </c>
      <c r="T20" s="72" t="s">
        <v>55</v>
      </c>
      <c r="U20" s="72" t="s">
        <v>55</v>
      </c>
      <c r="V20" s="72" t="s">
        <v>55</v>
      </c>
      <c r="W20" s="72" t="s">
        <v>55</v>
      </c>
      <c r="X20" s="72" t="s">
        <v>55</v>
      </c>
      <c r="Y20" s="72" t="s">
        <v>55</v>
      </c>
      <c r="Z20" s="72" t="s">
        <v>55</v>
      </c>
      <c r="AA20" s="69" t="s">
        <v>56</v>
      </c>
      <c r="AB20" s="69" t="s">
        <v>73</v>
      </c>
      <c r="AC20" s="69" t="s">
        <v>64</v>
      </c>
      <c r="AD20" s="69" t="s">
        <v>59</v>
      </c>
      <c r="AE20" s="69" t="s">
        <v>60</v>
      </c>
      <c r="AF20" s="69" t="s">
        <v>60</v>
      </c>
      <c r="AG20" s="70">
        <v>4</v>
      </c>
      <c r="AH20" s="69" t="s">
        <v>61</v>
      </c>
      <c r="AI20" s="69" t="s">
        <v>62</v>
      </c>
    </row>
    <row r="21" spans="1:35" x14ac:dyDescent="0.3">
      <c r="A21" s="69" t="s">
        <v>7</v>
      </c>
      <c r="B21" s="69" t="s">
        <v>25</v>
      </c>
      <c r="C21" s="70">
        <v>49257</v>
      </c>
      <c r="D21" s="70">
        <v>13383</v>
      </c>
      <c r="E21" s="70">
        <v>73761</v>
      </c>
      <c r="F21" s="70">
        <v>60347</v>
      </c>
      <c r="G21" s="70">
        <v>2020</v>
      </c>
      <c r="H21" s="71">
        <v>0.27169742371642602</v>
      </c>
      <c r="I21" s="72">
        <v>0.66779192256070297</v>
      </c>
      <c r="J21" s="72">
        <v>1.2222811407360801</v>
      </c>
      <c r="K21" s="72">
        <v>0.221767444943411</v>
      </c>
      <c r="L21" s="72">
        <v>0.31572446748197902</v>
      </c>
      <c r="M21" s="72">
        <v>0.63882241854328603</v>
      </c>
      <c r="N21" s="72">
        <v>1.18442541326429</v>
      </c>
      <c r="O21" s="72">
        <v>0.238888974001501</v>
      </c>
      <c r="P21" s="72">
        <v>-0.15018086058101399</v>
      </c>
      <c r="Q21" s="72">
        <v>4.4350121338329197E-2</v>
      </c>
      <c r="R21" s="72">
        <v>3.1461126685177997E-2</v>
      </c>
      <c r="S21" s="72">
        <v>-7.4369612557507001E-2</v>
      </c>
      <c r="T21" s="72">
        <v>2.0193847381534402</v>
      </c>
      <c r="U21" s="72">
        <v>-0.59634734958495295</v>
      </c>
      <c r="V21" s="72">
        <v>-0.42303738856848899</v>
      </c>
      <c r="W21" s="72">
        <v>-1.7121529058090799E-2</v>
      </c>
      <c r="X21" s="72">
        <v>-3.4574954473759301E-2</v>
      </c>
      <c r="Y21" s="72">
        <v>1.0210378474634201E-2</v>
      </c>
      <c r="Z21" s="72">
        <v>7.2430469410342301E-3</v>
      </c>
      <c r="AA21" s="69" t="s">
        <v>56</v>
      </c>
      <c r="AB21" s="69" t="s">
        <v>73</v>
      </c>
      <c r="AC21" s="69" t="s">
        <v>64</v>
      </c>
      <c r="AD21" s="69" t="s">
        <v>59</v>
      </c>
      <c r="AE21" s="69" t="s">
        <v>77</v>
      </c>
      <c r="AF21" s="69" t="s">
        <v>78</v>
      </c>
      <c r="AG21" s="70">
        <v>4</v>
      </c>
      <c r="AH21" s="69" t="s">
        <v>61</v>
      </c>
      <c r="AI21" s="69" t="s">
        <v>62</v>
      </c>
    </row>
    <row r="22" spans="1:35" x14ac:dyDescent="0.3">
      <c r="A22" s="69" t="s">
        <v>7</v>
      </c>
      <c r="B22" s="69" t="s">
        <v>26</v>
      </c>
      <c r="C22" s="70">
        <v>60645</v>
      </c>
      <c r="D22" s="70">
        <v>15503</v>
      </c>
      <c r="E22" s="70">
        <v>77196</v>
      </c>
      <c r="F22" s="70">
        <v>62455</v>
      </c>
      <c r="G22" s="70">
        <v>2021</v>
      </c>
      <c r="H22" s="71">
        <v>0.25563525434908102</v>
      </c>
      <c r="I22" s="72">
        <v>0.78559769936266099</v>
      </c>
      <c r="J22" s="72">
        <v>1.2360259386758501</v>
      </c>
      <c r="K22" s="72">
        <v>0.248226723240733</v>
      </c>
      <c r="L22" s="72">
        <v>0.27169742371642602</v>
      </c>
      <c r="M22" s="72">
        <v>0.66779192256070297</v>
      </c>
      <c r="N22" s="72">
        <v>1.2222811407360801</v>
      </c>
      <c r="O22" s="72">
        <v>0.221767444943411</v>
      </c>
      <c r="P22" s="72">
        <v>-6.0937393492855499E-2</v>
      </c>
      <c r="Q22" s="72">
        <v>0.16246819668614701</v>
      </c>
      <c r="R22" s="72">
        <v>1.11824444419248E-2</v>
      </c>
      <c r="S22" s="72">
        <v>0.11271324763521701</v>
      </c>
      <c r="T22" s="72">
        <v>-0.54064091640826695</v>
      </c>
      <c r="U22" s="72">
        <v>1.4414294689827101</v>
      </c>
      <c r="V22" s="72">
        <v>9.9211447425554405E-2</v>
      </c>
      <c r="W22" s="72">
        <v>2.6459278297322801E-2</v>
      </c>
      <c r="X22" s="72">
        <v>-1.4304968466165999E-2</v>
      </c>
      <c r="Y22" s="72">
        <v>3.81391834657758E-2</v>
      </c>
      <c r="Z22" s="72">
        <v>2.6250632977129502E-3</v>
      </c>
      <c r="AA22" s="69" t="s">
        <v>74</v>
      </c>
      <c r="AB22" s="69" t="s">
        <v>73</v>
      </c>
      <c r="AC22" s="69" t="s">
        <v>64</v>
      </c>
      <c r="AD22" s="69" t="s">
        <v>59</v>
      </c>
      <c r="AE22" s="69" t="s">
        <v>79</v>
      </c>
      <c r="AF22" s="69" t="s">
        <v>80</v>
      </c>
      <c r="AG22" s="70">
        <v>4</v>
      </c>
      <c r="AH22" s="69" t="s">
        <v>61</v>
      </c>
      <c r="AI22" s="69" t="s">
        <v>62</v>
      </c>
    </row>
    <row r="23" spans="1:35" x14ac:dyDescent="0.3">
      <c r="A23" s="69" t="s">
        <v>7</v>
      </c>
      <c r="B23" s="69" t="s">
        <v>27</v>
      </c>
      <c r="C23" s="70">
        <v>70919</v>
      </c>
      <c r="D23" s="70">
        <v>19477</v>
      </c>
      <c r="E23" s="70">
        <v>85831</v>
      </c>
      <c r="F23" s="70">
        <v>69155</v>
      </c>
      <c r="G23" s="70">
        <v>2022</v>
      </c>
      <c r="H23" s="71">
        <v>0.27463726222874002</v>
      </c>
      <c r="I23" s="72">
        <v>0.82626323822395198</v>
      </c>
      <c r="J23" s="72">
        <v>1.2411394693080799</v>
      </c>
      <c r="K23" s="72">
        <v>0.281642686718242</v>
      </c>
      <c r="L23" s="72">
        <v>0.25563525434908102</v>
      </c>
      <c r="M23" s="72">
        <v>0.78559769936266099</v>
      </c>
      <c r="N23" s="72">
        <v>1.2360259386758501</v>
      </c>
      <c r="O23" s="72">
        <v>0.248226723240733</v>
      </c>
      <c r="P23" s="72">
        <v>7.1699539712596794E-2</v>
      </c>
      <c r="Q23" s="72">
        <v>5.0468584567646801E-2</v>
      </c>
      <c r="R23" s="72">
        <v>4.1285397244953097E-3</v>
      </c>
      <c r="S23" s="72">
        <v>0.12629666400473899</v>
      </c>
      <c r="T23" s="72">
        <v>0.56770731260096097</v>
      </c>
      <c r="U23" s="72">
        <v>0.39960346510619699</v>
      </c>
      <c r="V23" s="72">
        <v>3.2689222292842102E-2</v>
      </c>
      <c r="W23" s="72">
        <v>3.3415963477508297E-2</v>
      </c>
      <c r="X23" s="72">
        <v>1.8970486823788098E-2</v>
      </c>
      <c r="Y23" s="72">
        <v>1.3353134795474401E-2</v>
      </c>
      <c r="Z23" s="72">
        <v>1.09234185824576E-3</v>
      </c>
      <c r="AA23" s="69" t="s">
        <v>56</v>
      </c>
      <c r="AB23" s="69" t="s">
        <v>73</v>
      </c>
      <c r="AC23" s="69" t="s">
        <v>64</v>
      </c>
      <c r="AD23" s="69" t="s">
        <v>59</v>
      </c>
      <c r="AE23" s="69" t="s">
        <v>69</v>
      </c>
      <c r="AF23" s="69" t="s">
        <v>70</v>
      </c>
      <c r="AG23" s="70">
        <v>4</v>
      </c>
      <c r="AH23" s="69" t="s">
        <v>61</v>
      </c>
      <c r="AI23" s="69" t="s">
        <v>62</v>
      </c>
    </row>
    <row r="24" spans="1:35" x14ac:dyDescent="0.3">
      <c r="A24" s="69" t="s">
        <v>7</v>
      </c>
      <c r="B24" s="69" t="s">
        <v>28</v>
      </c>
      <c r="C24" s="70">
        <v>67932</v>
      </c>
      <c r="D24" s="70">
        <v>20751</v>
      </c>
      <c r="E24" s="70">
        <v>91754</v>
      </c>
      <c r="F24" s="70">
        <v>74507</v>
      </c>
      <c r="G24" s="70">
        <v>2023</v>
      </c>
      <c r="H24" s="71">
        <v>0.30546723193781999</v>
      </c>
      <c r="I24" s="72">
        <v>0.74037099200034895</v>
      </c>
      <c r="J24" s="72">
        <v>1.2314816057551601</v>
      </c>
      <c r="K24" s="72">
        <v>0.27851074395694397</v>
      </c>
      <c r="L24" s="72">
        <v>0.27463726222874002</v>
      </c>
      <c r="M24" s="72">
        <v>0.82626323822395198</v>
      </c>
      <c r="N24" s="72">
        <v>1.2411394693080799</v>
      </c>
      <c r="O24" s="72">
        <v>0.281642686718242</v>
      </c>
      <c r="P24" s="72">
        <v>0.106391331908056</v>
      </c>
      <c r="Q24" s="72">
        <v>-0.109762011983719</v>
      </c>
      <c r="R24" s="72">
        <v>-7.8118825119896798E-3</v>
      </c>
      <c r="S24" s="72">
        <v>-1.11825625876528E-2</v>
      </c>
      <c r="T24" s="72">
        <v>-9.5140385823127396</v>
      </c>
      <c r="U24" s="72">
        <v>9.81546144932042</v>
      </c>
      <c r="V24" s="72">
        <v>0.69857713299231905</v>
      </c>
      <c r="W24" s="72">
        <v>-3.1319427612980801E-3</v>
      </c>
      <c r="X24" s="72">
        <v>2.9797424268585001E-2</v>
      </c>
      <c r="Y24" s="72">
        <v>-3.0741463434999401E-2</v>
      </c>
      <c r="Z24" s="72">
        <v>-2.1879035948836599E-3</v>
      </c>
      <c r="AA24" s="69" t="s">
        <v>74</v>
      </c>
      <c r="AB24" s="69" t="s">
        <v>73</v>
      </c>
      <c r="AC24" s="69" t="s">
        <v>64</v>
      </c>
      <c r="AD24" s="69" t="s">
        <v>59</v>
      </c>
      <c r="AE24" s="69" t="s">
        <v>75</v>
      </c>
      <c r="AF24" s="69" t="s">
        <v>76</v>
      </c>
      <c r="AG24" s="70">
        <v>4</v>
      </c>
      <c r="AH24" s="69" t="s">
        <v>61</v>
      </c>
      <c r="AI24" s="69" t="s">
        <v>62</v>
      </c>
    </row>
    <row r="25" spans="1:35" x14ac:dyDescent="0.3">
      <c r="A25" s="69" t="s">
        <v>7</v>
      </c>
      <c r="B25" s="69" t="s">
        <v>29</v>
      </c>
      <c r="C25" s="70">
        <v>75323</v>
      </c>
      <c r="D25" s="70">
        <v>35052</v>
      </c>
      <c r="E25" s="70">
        <v>88003</v>
      </c>
      <c r="F25" s="70">
        <v>70030</v>
      </c>
      <c r="G25" s="70">
        <v>2024</v>
      </c>
      <c r="H25" s="71">
        <v>0.46535586739773999</v>
      </c>
      <c r="I25" s="72">
        <v>0.85591400293171804</v>
      </c>
      <c r="J25" s="72">
        <v>1.2566471512209101</v>
      </c>
      <c r="K25" s="72">
        <v>0.50052834499500198</v>
      </c>
      <c r="L25" s="72">
        <v>0.30546723193781999</v>
      </c>
      <c r="M25" s="72">
        <v>0.74037099200034895</v>
      </c>
      <c r="N25" s="72">
        <v>1.2314816057551601</v>
      </c>
      <c r="O25" s="72">
        <v>0.27851074395694397</v>
      </c>
      <c r="P25" s="72">
        <v>0.42095990669539701</v>
      </c>
      <c r="Q25" s="72">
        <v>0.14501850612004999</v>
      </c>
      <c r="R25" s="72">
        <v>2.0229181127292599E-2</v>
      </c>
      <c r="S25" s="72">
        <v>0.58620759394273902</v>
      </c>
      <c r="T25" s="72">
        <v>0.71810722181895903</v>
      </c>
      <c r="U25" s="72">
        <v>0.24738421613524</v>
      </c>
      <c r="V25" s="72">
        <v>3.4508562045800897E-2</v>
      </c>
      <c r="W25" s="72">
        <v>0.22201760103805901</v>
      </c>
      <c r="X25" s="72">
        <v>0.15943244267635001</v>
      </c>
      <c r="Y25" s="72">
        <v>5.4923650201026603E-2</v>
      </c>
      <c r="Z25" s="72">
        <v>7.6615081606816998E-3</v>
      </c>
      <c r="AA25" s="69" t="s">
        <v>56</v>
      </c>
      <c r="AB25" s="69" t="s">
        <v>73</v>
      </c>
      <c r="AC25" s="69" t="s">
        <v>64</v>
      </c>
      <c r="AD25" s="69" t="s">
        <v>59</v>
      </c>
      <c r="AE25" s="69" t="s">
        <v>69</v>
      </c>
      <c r="AF25" s="69" t="s">
        <v>70</v>
      </c>
      <c r="AG25" s="70">
        <v>4</v>
      </c>
      <c r="AH25" s="69" t="s">
        <v>61</v>
      </c>
      <c r="AI25" s="69" t="s">
        <v>62</v>
      </c>
    </row>
    <row r="26" spans="1:35" x14ac:dyDescent="0.3">
      <c r="A26" s="73" t="s">
        <v>8</v>
      </c>
      <c r="B26" s="73" t="s">
        <v>24</v>
      </c>
      <c r="C26" s="74">
        <v>12369</v>
      </c>
      <c r="D26" s="74">
        <v>1968</v>
      </c>
      <c r="E26" s="74">
        <v>7173</v>
      </c>
      <c r="F26" s="74">
        <v>1918</v>
      </c>
      <c r="G26" s="74">
        <v>2019</v>
      </c>
      <c r="H26" s="75">
        <v>0.15910744603444099</v>
      </c>
      <c r="I26" s="76">
        <v>1.72438310330406</v>
      </c>
      <c r="J26" s="76">
        <v>3.73983315954119</v>
      </c>
      <c r="K26" s="76">
        <v>1.0260688216892599</v>
      </c>
      <c r="L26" s="76" t="s">
        <v>55</v>
      </c>
      <c r="M26" s="76" t="s">
        <v>55</v>
      </c>
      <c r="N26" s="76" t="s">
        <v>55</v>
      </c>
      <c r="O26" s="76" t="s">
        <v>55</v>
      </c>
      <c r="P26" s="76" t="s">
        <v>55</v>
      </c>
      <c r="Q26" s="76" t="s">
        <v>55</v>
      </c>
      <c r="R26" s="76" t="s">
        <v>55</v>
      </c>
      <c r="S26" s="76" t="s">
        <v>55</v>
      </c>
      <c r="T26" s="76" t="s">
        <v>55</v>
      </c>
      <c r="U26" s="76" t="s">
        <v>55</v>
      </c>
      <c r="V26" s="76" t="s">
        <v>55</v>
      </c>
      <c r="W26" s="76" t="s">
        <v>55</v>
      </c>
      <c r="X26" s="76" t="s">
        <v>55</v>
      </c>
      <c r="Y26" s="76" t="s">
        <v>55</v>
      </c>
      <c r="Z26" s="76" t="s">
        <v>55</v>
      </c>
      <c r="AA26" s="73" t="s">
        <v>56</v>
      </c>
      <c r="AB26" s="73" t="s">
        <v>73</v>
      </c>
      <c r="AC26" s="73" t="s">
        <v>58</v>
      </c>
      <c r="AD26" s="73" t="s">
        <v>68</v>
      </c>
      <c r="AE26" s="73" t="s">
        <v>60</v>
      </c>
      <c r="AF26" s="73" t="s">
        <v>60</v>
      </c>
      <c r="AG26" s="74">
        <v>4</v>
      </c>
      <c r="AH26" s="73" t="s">
        <v>61</v>
      </c>
      <c r="AI26" s="73" t="s">
        <v>62</v>
      </c>
    </row>
    <row r="27" spans="1:35" x14ac:dyDescent="0.3">
      <c r="A27" s="73" t="s">
        <v>8</v>
      </c>
      <c r="B27" s="73" t="s">
        <v>25</v>
      </c>
      <c r="C27" s="74">
        <v>13350</v>
      </c>
      <c r="D27" s="74">
        <v>2082</v>
      </c>
      <c r="E27" s="74">
        <v>7900</v>
      </c>
      <c r="F27" s="74">
        <v>2019</v>
      </c>
      <c r="G27" s="74">
        <v>2020</v>
      </c>
      <c r="H27" s="75">
        <v>0.15595505617977501</v>
      </c>
      <c r="I27" s="76">
        <v>1.68987341772152</v>
      </c>
      <c r="J27" s="76">
        <v>3.91282813273898</v>
      </c>
      <c r="K27" s="76">
        <v>1.0312035661218399</v>
      </c>
      <c r="L27" s="76">
        <v>0.15910744603444099</v>
      </c>
      <c r="M27" s="76">
        <v>1.72438310330406</v>
      </c>
      <c r="N27" s="76">
        <v>3.73983315954119</v>
      </c>
      <c r="O27" s="76">
        <v>1.0260688216892599</v>
      </c>
      <c r="P27" s="76">
        <v>-2.0011870890670299E-2</v>
      </c>
      <c r="Q27" s="76">
        <v>-2.0215739875292599E-2</v>
      </c>
      <c r="R27" s="76">
        <v>4.5219419459224502E-2</v>
      </c>
      <c r="S27" s="76">
        <v>4.9918086932615102E-3</v>
      </c>
      <c r="T27" s="76">
        <v>-4.0089418726491903</v>
      </c>
      <c r="U27" s="76">
        <v>-4.0497825773215297</v>
      </c>
      <c r="V27" s="76">
        <v>9.0587244499707307</v>
      </c>
      <c r="W27" s="76">
        <v>5.1347444325826599E-3</v>
      </c>
      <c r="X27" s="76">
        <v>-2.0584891961133001E-2</v>
      </c>
      <c r="Y27" s="76">
        <v>-2.0794598542071999E-2</v>
      </c>
      <c r="Z27" s="76">
        <v>4.6514234935787602E-2</v>
      </c>
      <c r="AA27" s="73" t="s">
        <v>63</v>
      </c>
      <c r="AB27" s="73" t="s">
        <v>73</v>
      </c>
      <c r="AC27" s="73" t="s">
        <v>58</v>
      </c>
      <c r="AD27" s="73" t="s">
        <v>68</v>
      </c>
      <c r="AE27" s="73" t="s">
        <v>65</v>
      </c>
      <c r="AF27" s="73" t="s">
        <v>66</v>
      </c>
      <c r="AG27" s="74">
        <v>4</v>
      </c>
      <c r="AH27" s="73" t="s">
        <v>61</v>
      </c>
      <c r="AI27" s="73" t="s">
        <v>62</v>
      </c>
    </row>
    <row r="28" spans="1:35" x14ac:dyDescent="0.3">
      <c r="A28" s="73" t="s">
        <v>8</v>
      </c>
      <c r="B28" s="73" t="s">
        <v>26</v>
      </c>
      <c r="C28" s="74">
        <v>14741</v>
      </c>
      <c r="D28" s="74">
        <v>2118</v>
      </c>
      <c r="E28" s="74">
        <v>8234</v>
      </c>
      <c r="F28" s="74">
        <v>1946</v>
      </c>
      <c r="G28" s="74">
        <v>2021</v>
      </c>
      <c r="H28" s="75">
        <v>0.143680890034597</v>
      </c>
      <c r="I28" s="76">
        <v>1.7902598979839699</v>
      </c>
      <c r="J28" s="76">
        <v>4.2312435765673202</v>
      </c>
      <c r="K28" s="76">
        <v>1.0883864337101701</v>
      </c>
      <c r="L28" s="76">
        <v>0.15595505617977501</v>
      </c>
      <c r="M28" s="76">
        <v>1.68987341772152</v>
      </c>
      <c r="N28" s="76">
        <v>3.91282813273898</v>
      </c>
      <c r="O28" s="76">
        <v>1.0312035661218399</v>
      </c>
      <c r="P28" s="76">
        <v>-8.1973065232445005E-2</v>
      </c>
      <c r="Q28" s="76">
        <v>5.7707178344145502E-2</v>
      </c>
      <c r="R28" s="76">
        <v>7.8235519441624199E-2</v>
      </c>
      <c r="S28" s="76">
        <v>5.3969632553324799E-2</v>
      </c>
      <c r="T28" s="76">
        <v>-1.5188738806300299</v>
      </c>
      <c r="U28" s="76">
        <v>1.06925275592951</v>
      </c>
      <c r="V28" s="76">
        <v>1.44962112470052</v>
      </c>
      <c r="W28" s="76">
        <v>5.7182867588332603E-2</v>
      </c>
      <c r="X28" s="76">
        <v>-8.6853563999443606E-2</v>
      </c>
      <c r="Y28" s="76">
        <v>6.1142938760776797E-2</v>
      </c>
      <c r="Z28" s="76">
        <v>8.2893492826999399E-2</v>
      </c>
      <c r="AA28" s="73" t="s">
        <v>56</v>
      </c>
      <c r="AB28" s="73" t="s">
        <v>57</v>
      </c>
      <c r="AC28" s="73" t="s">
        <v>58</v>
      </c>
      <c r="AD28" s="73" t="s">
        <v>68</v>
      </c>
      <c r="AE28" s="73" t="s">
        <v>69</v>
      </c>
      <c r="AF28" s="73" t="s">
        <v>70</v>
      </c>
      <c r="AG28" s="74">
        <v>2</v>
      </c>
      <c r="AH28" s="73" t="s">
        <v>67</v>
      </c>
      <c r="AI28" s="73" t="s">
        <v>62</v>
      </c>
    </row>
    <row r="29" spans="1:35" x14ac:dyDescent="0.3">
      <c r="A29" s="73" t="s">
        <v>8</v>
      </c>
      <c r="B29" s="73" t="s">
        <v>27</v>
      </c>
      <c r="C29" s="74">
        <v>16897</v>
      </c>
      <c r="D29" s="74">
        <v>2391</v>
      </c>
      <c r="E29" s="74">
        <v>8979</v>
      </c>
      <c r="F29" s="74">
        <v>2459</v>
      </c>
      <c r="G29" s="74">
        <v>2022</v>
      </c>
      <c r="H29" s="75">
        <v>0.14150440906669801</v>
      </c>
      <c r="I29" s="76">
        <v>1.8818353936964001</v>
      </c>
      <c r="J29" s="76">
        <v>3.6514843432289501</v>
      </c>
      <c r="K29" s="76">
        <v>0.97234648230988197</v>
      </c>
      <c r="L29" s="76">
        <v>0.143680890034597</v>
      </c>
      <c r="M29" s="76">
        <v>1.7902598979839699</v>
      </c>
      <c r="N29" s="76">
        <v>4.2312435765673202</v>
      </c>
      <c r="O29" s="76">
        <v>1.0883864337101701</v>
      </c>
      <c r="P29" s="76">
        <v>-1.5263923016398701E-2</v>
      </c>
      <c r="Q29" s="76">
        <v>4.9886770122412903E-2</v>
      </c>
      <c r="R29" s="76">
        <v>-0.14736218527928299</v>
      </c>
      <c r="S29" s="76">
        <v>-0.112739338173269</v>
      </c>
      <c r="T29" s="76">
        <v>0.13539127746997701</v>
      </c>
      <c r="U29" s="76">
        <v>-0.44249656713206698</v>
      </c>
      <c r="V29" s="76">
        <v>1.3071052896620901</v>
      </c>
      <c r="W29" s="76">
        <v>-0.116039951400293</v>
      </c>
      <c r="X29" s="76">
        <v>-1.57107972576397E-2</v>
      </c>
      <c r="Y29" s="76">
        <v>5.1347280144801499E-2</v>
      </c>
      <c r="Z29" s="76">
        <v>-0.151676434287455</v>
      </c>
      <c r="AA29" s="73" t="s">
        <v>63</v>
      </c>
      <c r="AB29" s="73" t="s">
        <v>57</v>
      </c>
      <c r="AC29" s="73" t="s">
        <v>58</v>
      </c>
      <c r="AD29" s="73" t="s">
        <v>68</v>
      </c>
      <c r="AE29" s="73" t="s">
        <v>71</v>
      </c>
      <c r="AF29" s="73" t="s">
        <v>72</v>
      </c>
      <c r="AG29" s="74">
        <v>2</v>
      </c>
      <c r="AH29" s="73" t="s">
        <v>67</v>
      </c>
      <c r="AI29" s="73" t="s">
        <v>62</v>
      </c>
    </row>
    <row r="30" spans="1:35" x14ac:dyDescent="0.3">
      <c r="A30" s="73" t="s">
        <v>8</v>
      </c>
      <c r="B30" s="73" t="s">
        <v>28</v>
      </c>
      <c r="C30" s="74">
        <v>19126</v>
      </c>
      <c r="D30" s="74">
        <v>2999</v>
      </c>
      <c r="E30" s="74">
        <v>8979</v>
      </c>
      <c r="F30" s="74">
        <v>2459</v>
      </c>
      <c r="G30" s="74">
        <v>2023</v>
      </c>
      <c r="H30" s="75">
        <v>0.15680225870542699</v>
      </c>
      <c r="I30" s="76">
        <v>2.1300813008130102</v>
      </c>
      <c r="J30" s="76">
        <v>3.6514843432289501</v>
      </c>
      <c r="K30" s="76">
        <v>1.2196014640097601</v>
      </c>
      <c r="L30" s="76">
        <v>0.14150440906669801</v>
      </c>
      <c r="M30" s="76">
        <v>1.8818353936964001</v>
      </c>
      <c r="N30" s="76">
        <v>3.6514843432289501</v>
      </c>
      <c r="O30" s="76">
        <v>0.97234648230988197</v>
      </c>
      <c r="P30" s="76">
        <v>0.10265463674184599</v>
      </c>
      <c r="Q30" s="76">
        <v>0.123912574548838</v>
      </c>
      <c r="R30" s="76">
        <v>0</v>
      </c>
      <c r="S30" s="76">
        <v>0.226567211290684</v>
      </c>
      <c r="T30" s="76">
        <v>0.45308690589893402</v>
      </c>
      <c r="U30" s="76">
        <v>0.54691309410106603</v>
      </c>
      <c r="V30" s="76">
        <v>0</v>
      </c>
      <c r="W30" s="76">
        <v>0.247254981699878</v>
      </c>
      <c r="X30" s="76">
        <v>0.112027994626495</v>
      </c>
      <c r="Y30" s="76">
        <v>0.13522698707338299</v>
      </c>
      <c r="Z30" s="76">
        <v>0</v>
      </c>
      <c r="AA30" s="73" t="s">
        <v>74</v>
      </c>
      <c r="AB30" s="73" t="s">
        <v>73</v>
      </c>
      <c r="AC30" s="73" t="s">
        <v>58</v>
      </c>
      <c r="AD30" s="73" t="s">
        <v>68</v>
      </c>
      <c r="AE30" s="73" t="s">
        <v>79</v>
      </c>
      <c r="AF30" s="73" t="s">
        <v>80</v>
      </c>
      <c r="AG30" s="74">
        <v>4</v>
      </c>
      <c r="AH30" s="73" t="s">
        <v>61</v>
      </c>
      <c r="AI30" s="73" t="s">
        <v>62</v>
      </c>
    </row>
    <row r="31" spans="1:35" x14ac:dyDescent="0.3">
      <c r="A31" s="73" t="s">
        <v>8</v>
      </c>
      <c r="B31" s="73" t="s">
        <v>29</v>
      </c>
      <c r="C31" s="74">
        <v>24394</v>
      </c>
      <c r="D31" s="74">
        <v>3933</v>
      </c>
      <c r="E31" s="74">
        <v>10523</v>
      </c>
      <c r="F31" s="74">
        <v>3340</v>
      </c>
      <c r="G31" s="74">
        <v>2024</v>
      </c>
      <c r="H31" s="75">
        <v>0.161228170861687</v>
      </c>
      <c r="I31" s="76">
        <v>2.31816022046945</v>
      </c>
      <c r="J31" s="76">
        <v>3.1505988023952098</v>
      </c>
      <c r="K31" s="76">
        <v>1.17754491017964</v>
      </c>
      <c r="L31" s="76">
        <v>0.15680225870542699</v>
      </c>
      <c r="M31" s="76">
        <v>2.1300813008130102</v>
      </c>
      <c r="N31" s="76">
        <v>3.6514843432289501</v>
      </c>
      <c r="O31" s="76">
        <v>1.2196014640097601</v>
      </c>
      <c r="P31" s="76">
        <v>2.7835059189104901E-2</v>
      </c>
      <c r="Q31" s="76">
        <v>8.4613714273692103E-2</v>
      </c>
      <c r="R31" s="76">
        <v>-0.14754122353454999</v>
      </c>
      <c r="S31" s="76">
        <v>-3.5092450071753101E-2</v>
      </c>
      <c r="T31" s="76">
        <v>-0.79319224312326098</v>
      </c>
      <c r="U31" s="76">
        <v>-2.4111657664450199</v>
      </c>
      <c r="V31" s="76">
        <v>4.2043580095682804</v>
      </c>
      <c r="W31" s="76">
        <v>-4.2056553830119199E-2</v>
      </c>
      <c r="X31" s="76">
        <v>3.3358932270546399E-2</v>
      </c>
      <c r="Y31" s="76">
        <v>0.101405322849835</v>
      </c>
      <c r="Z31" s="76">
        <v>-0.17682080895050101</v>
      </c>
      <c r="AA31" s="73" t="s">
        <v>63</v>
      </c>
      <c r="AB31" s="73" t="s">
        <v>73</v>
      </c>
      <c r="AC31" s="73" t="s">
        <v>58</v>
      </c>
      <c r="AD31" s="73" t="s">
        <v>68</v>
      </c>
      <c r="AE31" s="73" t="s">
        <v>71</v>
      </c>
      <c r="AF31" s="73" t="s">
        <v>72</v>
      </c>
      <c r="AG31" s="74">
        <v>4</v>
      </c>
      <c r="AH31" s="73" t="s">
        <v>61</v>
      </c>
      <c r="AI31" s="7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Insight Table</vt:lpstr>
      <vt:lpstr>Python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Sparsh Giri</dc:creator>
  <cp:lastModifiedBy>Sparsh Giri</cp:lastModifiedBy>
  <dcterms:created xsi:type="dcterms:W3CDTF">2026-03-19T05:56:50Z</dcterms:created>
  <dcterms:modified xsi:type="dcterms:W3CDTF">2026-03-27T05:28:02Z</dcterms:modified>
</cp:coreProperties>
</file>